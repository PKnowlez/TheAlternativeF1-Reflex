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Scoring" sheetId="2" r:id="rId6"/>
    <sheet state="visible" name="Season1" sheetId="3" r:id="rId7"/>
    <sheet state="visible" name="S1Schedule" sheetId="4" r:id="rId8"/>
    <sheet state="visible" name="Season2" sheetId="5" r:id="rId9"/>
    <sheet state="visible" name="S2Schedule" sheetId="6" r:id="rId10"/>
    <sheet state="visible" name="Season3" sheetId="7" r:id="rId11"/>
    <sheet state="visible" name="S3Schedule" sheetId="8" r:id="rId12"/>
    <sheet state="visible" name="Season4" sheetId="9" r:id="rId13"/>
    <sheet state="visible" name="S4Schedule" sheetId="10" r:id="rId14"/>
    <sheet state="visible" name="Season5" sheetId="11" r:id="rId15"/>
    <sheet state="visible" name="S5Schedule" sheetId="12" r:id="rId16"/>
  </sheets>
  <definedNames/>
  <calcPr/>
</workbook>
</file>

<file path=xl/sharedStrings.xml><?xml version="1.0" encoding="utf-8"?>
<sst xmlns="http://schemas.openxmlformats.org/spreadsheetml/2006/main" count="3634" uniqueCount="407">
  <si>
    <t>Positions</t>
  </si>
  <si>
    <t>Code</t>
  </si>
  <si>
    <t>S5+</t>
  </si>
  <si>
    <t>Place</t>
  </si>
  <si>
    <t>Qualifying</t>
  </si>
  <si>
    <t>FastestLap</t>
  </si>
  <si>
    <t>Points</t>
  </si>
  <si>
    <t>DNF</t>
  </si>
  <si>
    <t>DNS</t>
  </si>
  <si>
    <t>DSQ</t>
  </si>
  <si>
    <t>Miami OG</t>
  </si>
  <si>
    <t>Miami Updated</t>
  </si>
  <si>
    <t>Alpine</t>
  </si>
  <si>
    <t>Joshua</t>
  </si>
  <si>
    <t>JoshuaRosario89</t>
  </si>
  <si>
    <t>Eddie</t>
  </si>
  <si>
    <t>penguin2780</t>
  </si>
  <si>
    <t>McLaren</t>
  </si>
  <si>
    <t>Nick</t>
  </si>
  <si>
    <t>infmsmantis</t>
  </si>
  <si>
    <t>Travis</t>
  </si>
  <si>
    <t>PrisonMike</t>
  </si>
  <si>
    <t>VCARB</t>
  </si>
  <si>
    <t>Patrick</t>
  </si>
  <si>
    <t>PKnowlez</t>
  </si>
  <si>
    <t>Josh</t>
  </si>
  <si>
    <t>JellyWaffles37</t>
  </si>
  <si>
    <t>Red Bull</t>
  </si>
  <si>
    <t>Brently</t>
  </si>
  <si>
    <t>Brentuar</t>
  </si>
  <si>
    <t>Matthew</t>
  </si>
  <si>
    <t>NC_Newman</t>
  </si>
  <si>
    <t>Aston Martin</t>
  </si>
  <si>
    <t>Del</t>
  </si>
  <si>
    <t>DELREAL718</t>
  </si>
  <si>
    <t>Boz</t>
  </si>
  <si>
    <t>Bositive</t>
  </si>
  <si>
    <t>Ferrari</t>
  </si>
  <si>
    <t>Erick</t>
  </si>
  <si>
    <t>penguinator2780</t>
  </si>
  <si>
    <t>Leo</t>
  </si>
  <si>
    <t>LeonelM17</t>
  </si>
  <si>
    <t>Mercedes</t>
  </si>
  <si>
    <t>Jayden</t>
  </si>
  <si>
    <t>Jvytrbl</t>
  </si>
  <si>
    <t>Jairo</t>
  </si>
  <si>
    <t>JairoFSO</t>
  </si>
  <si>
    <t>Race</t>
  </si>
  <si>
    <t>Sprint</t>
  </si>
  <si>
    <t>Team</t>
  </si>
  <si>
    <t>Driver</t>
  </si>
  <si>
    <t>Username</t>
  </si>
  <si>
    <t>BahrainPlace</t>
  </si>
  <si>
    <t>BahrainQualifying</t>
  </si>
  <si>
    <t>BahrainFastestLap</t>
  </si>
  <si>
    <t>BahrainPoints</t>
  </si>
  <si>
    <t>JeddahPlace</t>
  </si>
  <si>
    <t>JeddahQualifying</t>
  </si>
  <si>
    <t>JeddahFastestLap</t>
  </si>
  <si>
    <t>JeddahPoints</t>
  </si>
  <si>
    <t>AustraliaPlace</t>
  </si>
  <si>
    <t>AustraliaQualifying</t>
  </si>
  <si>
    <t>AustraliaFastestLap</t>
  </si>
  <si>
    <t>AustraliaPoints</t>
  </si>
  <si>
    <t>MiamiPlace</t>
  </si>
  <si>
    <t>MiamiQualifying</t>
  </si>
  <si>
    <t>MiamiFastestLap</t>
  </si>
  <si>
    <t>MiamiPoints</t>
  </si>
  <si>
    <t>SpainPlace</t>
  </si>
  <si>
    <t>SpainQualifying</t>
  </si>
  <si>
    <t>SpainFastestLap</t>
  </si>
  <si>
    <t>SpainPoints</t>
  </si>
  <si>
    <t>CanadaPlace</t>
  </si>
  <si>
    <t>CanadaQualifying</t>
  </si>
  <si>
    <t>CanadaFastestLap</t>
  </si>
  <si>
    <t>CanadaPoints</t>
  </si>
  <si>
    <t>AustriaPlace</t>
  </si>
  <si>
    <t>AustriaQualifying</t>
  </si>
  <si>
    <t>AustriaFastestLap</t>
  </si>
  <si>
    <t>AustriaPoints</t>
  </si>
  <si>
    <t>SilverstonePlace</t>
  </si>
  <si>
    <t>SilverstoneQualifying</t>
  </si>
  <si>
    <t>SilverstoneFastestLap</t>
  </si>
  <si>
    <t>SilverstonePoints</t>
  </si>
  <si>
    <t>SpaPlace</t>
  </si>
  <si>
    <t>SpaQualifying</t>
  </si>
  <si>
    <t>SpaFastestLap</t>
  </si>
  <si>
    <t>SpaPoints</t>
  </si>
  <si>
    <t>ZandvoortPlace</t>
  </si>
  <si>
    <t>ZandvoortQualifying</t>
  </si>
  <si>
    <t>ZandvoortFastestLap</t>
  </si>
  <si>
    <t>ZandvoortPoints</t>
  </si>
  <si>
    <t>MonzaPlace</t>
  </si>
  <si>
    <t>MonzaQualifying</t>
  </si>
  <si>
    <t>MonzaFastestLap</t>
  </si>
  <si>
    <t>MonzaPoints</t>
  </si>
  <si>
    <t>SingaporePlace</t>
  </si>
  <si>
    <t>SingaporeQualifying</t>
  </si>
  <si>
    <t>SingaporeFastestLap</t>
  </si>
  <si>
    <t>SingaporePoints</t>
  </si>
  <si>
    <t>SuzukaPlace</t>
  </si>
  <si>
    <t>SuzukaQualifying</t>
  </si>
  <si>
    <t>SuzukaFastestLap</t>
  </si>
  <si>
    <t>SuzukaPoints</t>
  </si>
  <si>
    <t>QatarPlace</t>
  </si>
  <si>
    <t>QatarQualifying</t>
  </si>
  <si>
    <t>QatarFastestLap</t>
  </si>
  <si>
    <t>QatarPoints</t>
  </si>
  <si>
    <t>COTAPlace</t>
  </si>
  <si>
    <t>COTAQualifying</t>
  </si>
  <si>
    <t>COTAFastestLap</t>
  </si>
  <si>
    <t>COTAPoints</t>
  </si>
  <si>
    <t>MexicoPlace</t>
  </si>
  <si>
    <t>MexicoQualifying</t>
  </si>
  <si>
    <t>MexicoFastestLap</t>
  </si>
  <si>
    <t>MexicoPoints</t>
  </si>
  <si>
    <t>BrazilPlace</t>
  </si>
  <si>
    <t>BrazilQualifying</t>
  </si>
  <si>
    <t>BrazilFastestLap</t>
  </si>
  <si>
    <t>BrazilPoints</t>
  </si>
  <si>
    <t>Las VegasPlace</t>
  </si>
  <si>
    <t>Las VegasQualifying</t>
  </si>
  <si>
    <t>Las VegasFastestLap</t>
  </si>
  <si>
    <t>Las VegasPoints</t>
  </si>
  <si>
    <t>Abu DhabiPlace</t>
  </si>
  <si>
    <t>Abu DhabiQualifying</t>
  </si>
  <si>
    <t>Abu DhabiFastestLap</t>
  </si>
  <si>
    <t>Abu DhabiPoints</t>
  </si>
  <si>
    <t>Starting</t>
  </si>
  <si>
    <t>N</t>
  </si>
  <si>
    <t>Y</t>
  </si>
  <si>
    <t>ImHuntinWabit</t>
  </si>
  <si>
    <t>Zane</t>
  </si>
  <si>
    <t>Tastik45</t>
  </si>
  <si>
    <t>David</t>
  </si>
  <si>
    <t>KingDavidLivee</t>
  </si>
  <si>
    <t>Marcus</t>
  </si>
  <si>
    <t>oItsBigM</t>
  </si>
  <si>
    <t>Josh L</t>
  </si>
  <si>
    <t>WannaGetRowdy</t>
  </si>
  <si>
    <t>Gary</t>
  </si>
  <si>
    <t>Mediummnh</t>
  </si>
  <si>
    <t>Bahrain</t>
  </si>
  <si>
    <t>Jeddah</t>
  </si>
  <si>
    <t>Australia</t>
  </si>
  <si>
    <t>Miami</t>
  </si>
  <si>
    <t>Spain</t>
  </si>
  <si>
    <t>Canada</t>
  </si>
  <si>
    <t>Austria</t>
  </si>
  <si>
    <t>Silverstone</t>
  </si>
  <si>
    <t>Spa</t>
  </si>
  <si>
    <t>Zandvoort</t>
  </si>
  <si>
    <t>Monza</t>
  </si>
  <si>
    <t>Singapore</t>
  </si>
  <si>
    <t>Suzuka</t>
  </si>
  <si>
    <t>Qatar</t>
  </si>
  <si>
    <t>COTA</t>
  </si>
  <si>
    <t>Mexico</t>
  </si>
  <si>
    <t>Brazil</t>
  </si>
  <si>
    <t>Las Vegas</t>
  </si>
  <si>
    <t>Abu Dhabi</t>
  </si>
  <si>
    <t>MonacoPlace</t>
  </si>
  <si>
    <t>MonacoQualifying</t>
  </si>
  <si>
    <t>MonacoFastestLap</t>
  </si>
  <si>
    <t>MonacoPoints</t>
  </si>
  <si>
    <t>ChinaPlace</t>
  </si>
  <si>
    <t>ChinaQualifying</t>
  </si>
  <si>
    <t>ChinaFastestLap</t>
  </si>
  <si>
    <t>ChinaPoints</t>
  </si>
  <si>
    <t>Alfa Romeo</t>
  </si>
  <si>
    <t>Yeti</t>
  </si>
  <si>
    <t>aYETl</t>
  </si>
  <si>
    <t>AlphaTauri</t>
  </si>
  <si>
    <t>Monaco</t>
  </si>
  <si>
    <t>China</t>
  </si>
  <si>
    <t>China SprintPlace</t>
  </si>
  <si>
    <t>China SprintQualifying</t>
  </si>
  <si>
    <t>China SprintFastestLap</t>
  </si>
  <si>
    <t>China SprintPoints</t>
  </si>
  <si>
    <t>BakuPlace</t>
  </si>
  <si>
    <t>BakuQualifying</t>
  </si>
  <si>
    <t>BakuFastestLap</t>
  </si>
  <si>
    <t>BakuPoints</t>
  </si>
  <si>
    <t>Austria SprintPlace</t>
  </si>
  <si>
    <t>Austria SprintQualifying</t>
  </si>
  <si>
    <t>Austria SprintFastestLap</t>
  </si>
  <si>
    <t>Austria SprintPoints</t>
  </si>
  <si>
    <t>COTA SprintPlace</t>
  </si>
  <si>
    <t>COTA SprintQualifying</t>
  </si>
  <si>
    <t>COTA SprintFastestLap</t>
  </si>
  <si>
    <t>COTA SprintPoints</t>
  </si>
  <si>
    <t>aYETI</t>
  </si>
  <si>
    <t>Date</t>
  </si>
  <si>
    <t>Pre-Season: Miami</t>
  </si>
  <si>
    <t>China Sprint</t>
  </si>
  <si>
    <t>Baku</t>
  </si>
  <si>
    <t>Austria Sprint</t>
  </si>
  <si>
    <t>COTA Sprint</t>
  </si>
  <si>
    <t>Post-Season: Monaco</t>
  </si>
  <si>
    <t>BahrainDOTD</t>
  </si>
  <si>
    <t>BahrainMOT</t>
  </si>
  <si>
    <t>BahrainCD</t>
  </si>
  <si>
    <t>Miami SprintPlace</t>
  </si>
  <si>
    <t>Miami SprintQualifying</t>
  </si>
  <si>
    <t>Miami SprintFastestLap</t>
  </si>
  <si>
    <t>Miami SprintDOTD</t>
  </si>
  <si>
    <t>Miami SprintMOT</t>
  </si>
  <si>
    <t>Miami SprintCD</t>
  </si>
  <si>
    <t>Miami SprintPoints</t>
  </si>
  <si>
    <t>MiamiDOTD</t>
  </si>
  <si>
    <t>MiamiMOT</t>
  </si>
  <si>
    <t>MiamiCD</t>
  </si>
  <si>
    <t>SpainDOTD</t>
  </si>
  <si>
    <t>SpainMOT</t>
  </si>
  <si>
    <t>SpainCD</t>
  </si>
  <si>
    <t>MexicoDOTD</t>
  </si>
  <si>
    <t>MexicoMOT</t>
  </si>
  <si>
    <t>MexicoCD</t>
  </si>
  <si>
    <t>BakuDOTD</t>
  </si>
  <si>
    <t>BakuMOT</t>
  </si>
  <si>
    <t>BakuCD</t>
  </si>
  <si>
    <t>Austria ReversePlace</t>
  </si>
  <si>
    <t>Austria ReverseQualifying</t>
  </si>
  <si>
    <t>Austria ReverseFastestLap</t>
  </si>
  <si>
    <t>Austria ReverseDOTD</t>
  </si>
  <si>
    <t>Austria ReverseMOT</t>
  </si>
  <si>
    <t>Austria ReverseCD</t>
  </si>
  <si>
    <t>Austria ReversePoints</t>
  </si>
  <si>
    <t>Spa SprintPlace</t>
  </si>
  <si>
    <t>Spa SprintQualifying</t>
  </si>
  <si>
    <t>Spa SprintFastestLap</t>
  </si>
  <si>
    <t>Spa SprintDOTD</t>
  </si>
  <si>
    <t>Spa SprintMOT</t>
  </si>
  <si>
    <t>Spa SprintCD</t>
  </si>
  <si>
    <t>Spa SprintPoints</t>
  </si>
  <si>
    <t>SpaDOTD</t>
  </si>
  <si>
    <t>SpaMOT</t>
  </si>
  <si>
    <t>SpaCD</t>
  </si>
  <si>
    <t>Brazil SprintPlace</t>
  </si>
  <si>
    <t>Brazil SprintQualifying</t>
  </si>
  <si>
    <t>Brazil SprintFastestLap</t>
  </si>
  <si>
    <t>Brazil SprintDOTD</t>
  </si>
  <si>
    <t>Brazil SprintMOT</t>
  </si>
  <si>
    <t>Brazil SprintCD</t>
  </si>
  <si>
    <t>Brazil SprintPoints</t>
  </si>
  <si>
    <t>BrazilDOTD</t>
  </si>
  <si>
    <t>BrazilMOT</t>
  </si>
  <si>
    <t>BrazilCD</t>
  </si>
  <si>
    <t>AustriaDOTD</t>
  </si>
  <si>
    <t>AustriaMOT</t>
  </si>
  <si>
    <t>AustriaCD</t>
  </si>
  <si>
    <t>ZandvoortDOTD</t>
  </si>
  <si>
    <t>ZandvoortMOT</t>
  </si>
  <si>
    <t>ZandvoortCD</t>
  </si>
  <si>
    <t>JeddahDOTD</t>
  </si>
  <si>
    <t>JeddahMOT</t>
  </si>
  <si>
    <t>JeddahCD</t>
  </si>
  <si>
    <t>Las VegasDOTD</t>
  </si>
  <si>
    <t>Las VegasMOT</t>
  </si>
  <si>
    <t>Las VegasCD</t>
  </si>
  <si>
    <t>Abu DhabiDOTD</t>
  </si>
  <si>
    <t>Abu DhabiMOT</t>
  </si>
  <si>
    <t>Abu DhabiCD</t>
  </si>
  <si>
    <t>MonzaDOTD</t>
  </si>
  <si>
    <t>MonzaMOT</t>
  </si>
  <si>
    <t>MonzaCD</t>
  </si>
  <si>
    <t>y</t>
  </si>
  <si>
    <t>n</t>
  </si>
  <si>
    <t>Jelly</t>
  </si>
  <si>
    <t>Jaden</t>
  </si>
  <si>
    <t xml:space="preserve"> </t>
  </si>
  <si>
    <t>Status</t>
  </si>
  <si>
    <t>Pre-Season: Silverstone</t>
  </si>
  <si>
    <t>9/24/2025</t>
  </si>
  <si>
    <t>Final</t>
  </si>
  <si>
    <t>10/1/2025</t>
  </si>
  <si>
    <t>Miami Sprint</t>
  </si>
  <si>
    <t>10/8/2025</t>
  </si>
  <si>
    <t>10/22/2025</t>
  </si>
  <si>
    <t>10/29/2025</t>
  </si>
  <si>
    <t>11/5/2025</t>
  </si>
  <si>
    <t>Austria Reverse</t>
  </si>
  <si>
    <t>11/12/2025</t>
  </si>
  <si>
    <t>Spa Sprint</t>
  </si>
  <si>
    <t>11/19/2025</t>
  </si>
  <si>
    <t>Brazil Sprint</t>
  </si>
  <si>
    <t>12/3/2025</t>
  </si>
  <si>
    <t>12/10/2025</t>
  </si>
  <si>
    <t>12/17/2025</t>
  </si>
  <si>
    <t>1/7/2026</t>
  </si>
  <si>
    <t>1/14/2026</t>
  </si>
  <si>
    <t>Tentative</t>
  </si>
  <si>
    <t>1/21/2026</t>
  </si>
  <si>
    <t>1/28/2026</t>
  </si>
  <si>
    <t>AustraliaStarting</t>
  </si>
  <si>
    <t>AustraliaDOTD</t>
  </si>
  <si>
    <t>AustraliaMOT</t>
  </si>
  <si>
    <t>AustraliaCD</t>
  </si>
  <si>
    <t>ImolaPlace</t>
  </si>
  <si>
    <t>ImolaQualifying</t>
  </si>
  <si>
    <t>ImolaStarting</t>
  </si>
  <si>
    <t>ImolaFastestLap</t>
  </si>
  <si>
    <t>ImolaDOTD</t>
  </si>
  <si>
    <t>ImolaMOT</t>
  </si>
  <si>
    <t>ImolaCD</t>
  </si>
  <si>
    <t>ImolaPoints</t>
  </si>
  <si>
    <t>Miami SprintStarting</t>
  </si>
  <si>
    <t>MiamiStarting</t>
  </si>
  <si>
    <t>MonzaStarting</t>
  </si>
  <si>
    <t>Spa SprintStarting</t>
  </si>
  <si>
    <t>SpaStarting</t>
  </si>
  <si>
    <t>BrazilStarting</t>
  </si>
  <si>
    <t>Silverstone SprintPlace</t>
  </si>
  <si>
    <t>Silverstone SprintQualifying</t>
  </si>
  <si>
    <t>Silverstone SprintStarting</t>
  </si>
  <si>
    <t>Silverstone SprintFastestLap</t>
  </si>
  <si>
    <t>Silverstone SprintDOTD</t>
  </si>
  <si>
    <t>Silverstone SprintMOT</t>
  </si>
  <si>
    <t>Silverstone SprintCD</t>
  </si>
  <si>
    <t>Silverstone SprintPoints</t>
  </si>
  <si>
    <t>SilverstoneStarting</t>
  </si>
  <si>
    <t>SilverstoneDOTD</t>
  </si>
  <si>
    <t>SilverstoneMOT</t>
  </si>
  <si>
    <t>SilverstoneCD</t>
  </si>
  <si>
    <t>SuzukaStarting</t>
  </si>
  <si>
    <t>SuzukaDOTD</t>
  </si>
  <si>
    <t>SuzukaMOT</t>
  </si>
  <si>
    <t>SuzukaCD</t>
  </si>
  <si>
    <t>Abu DhabiStarting</t>
  </si>
  <si>
    <t>Bahrain SprintPlace</t>
  </si>
  <si>
    <t>Bahrain SprintQualifying</t>
  </si>
  <si>
    <t>Bahrain SprintStarting</t>
  </si>
  <si>
    <t>Bahrain SprintFastestLap</t>
  </si>
  <si>
    <t>Bahrain SprintDOTD</t>
  </si>
  <si>
    <t>Bahrain SprintMOT</t>
  </si>
  <si>
    <t>Bahrain SprintCD</t>
  </si>
  <si>
    <t>Bahrain SprintPoints</t>
  </si>
  <si>
    <t>BahrainStarting</t>
  </si>
  <si>
    <t>COTAStarting</t>
  </si>
  <si>
    <t>COTADOTD</t>
  </si>
  <si>
    <t>COTAMOT</t>
  </si>
  <si>
    <t>COTACD</t>
  </si>
  <si>
    <t>ZandvoortSprintPlace</t>
  </si>
  <si>
    <t>ZandvoortSprintQualifying</t>
  </si>
  <si>
    <t>ZandvoortSprintStarting</t>
  </si>
  <si>
    <t>ZandvoortSprintFastestLap</t>
  </si>
  <si>
    <t>ZandvoortSprintDOTD</t>
  </si>
  <si>
    <t>ZandvoortSprintMOT</t>
  </si>
  <si>
    <t>ZandvoortSprintCD</t>
  </si>
  <si>
    <t>ZandvoortSprintPoints</t>
  </si>
  <si>
    <t>ZandvoortStarting</t>
  </si>
  <si>
    <t>QatarStarting</t>
  </si>
  <si>
    <t>QatarDOTD</t>
  </si>
  <si>
    <t>QatarMOT</t>
  </si>
  <si>
    <t>QatarCD</t>
  </si>
  <si>
    <t>SingaporeSprintPlace</t>
  </si>
  <si>
    <t>SingaporeSprintQualifying</t>
  </si>
  <si>
    <t>SingaporeSprintStarting</t>
  </si>
  <si>
    <t>SingaporeSprintFastestLap</t>
  </si>
  <si>
    <t>SingaporeSprintDOTD</t>
  </si>
  <si>
    <t>SingaporeSprintMOT</t>
  </si>
  <si>
    <t>SingaporeSprintCD</t>
  </si>
  <si>
    <t>SingaporeSprintPoints</t>
  </si>
  <si>
    <t>SingaporeStarting</t>
  </si>
  <si>
    <t>SingaporeDOTD</t>
  </si>
  <si>
    <t>SingaporeMOT</t>
  </si>
  <si>
    <t>SingaporeCD</t>
  </si>
  <si>
    <t>Cadillac</t>
  </si>
  <si>
    <t>Haas</t>
  </si>
  <si>
    <t>Williams</t>
  </si>
  <si>
    <t>Grayson</t>
  </si>
  <si>
    <t>OperationHuh8</t>
  </si>
  <si>
    <t>Josh C.</t>
  </si>
  <si>
    <t>TheStig2023</t>
  </si>
  <si>
    <t>Audi</t>
  </si>
  <si>
    <t>Evelo</t>
  </si>
  <si>
    <t>Evelo200</t>
  </si>
  <si>
    <t>FreeJcMoney</t>
  </si>
  <si>
    <t>Randy</t>
  </si>
  <si>
    <t>Spin-FamRandy2</t>
  </si>
  <si>
    <t>Pre-Season: Mexico</t>
  </si>
  <si>
    <t>8/12/2026</t>
  </si>
  <si>
    <t>Confirmed</t>
  </si>
  <si>
    <t>Pre-Season: Vegas</t>
  </si>
  <si>
    <t>8/19/2026</t>
  </si>
  <si>
    <t>Pre-Season: Hungary</t>
  </si>
  <si>
    <t>8/26/2026</t>
  </si>
  <si>
    <t>9/9/2026</t>
  </si>
  <si>
    <t>Imola</t>
  </si>
  <si>
    <t>9/16/2026</t>
  </si>
  <si>
    <t>9/30/2026</t>
  </si>
  <si>
    <t>10/7/2026</t>
  </si>
  <si>
    <t>10/14/2026</t>
  </si>
  <si>
    <t>10/28/2026</t>
  </si>
  <si>
    <t>Silverstone Sprint</t>
  </si>
  <si>
    <t>11/4/2026</t>
  </si>
  <si>
    <t>11/18/2026</t>
  </si>
  <si>
    <t>12/2/2026</t>
  </si>
  <si>
    <t>Bahrain Sprint</t>
  </si>
  <si>
    <t>12/9/2026</t>
  </si>
  <si>
    <t>12/30/2026</t>
  </si>
  <si>
    <t>Zandvoort Sprint</t>
  </si>
  <si>
    <t>1/6/2027</t>
  </si>
  <si>
    <t>1/13/2027</t>
  </si>
  <si>
    <t>Singapore Sprint</t>
  </si>
  <si>
    <t>1/27/2027</t>
  </si>
  <si>
    <t>2/10/2027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</si>
</sst>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6" fillId="8" fontId="2" numFmtId="0" xfId="0" applyAlignment="1" applyBorder="1" applyFill="1" applyFont="1">
      <alignment readingOrder="0"/>
    </xf>
    <xf borderId="0" fillId="8" fontId="2" numFmtId="0" xfId="0" applyAlignment="1" applyFill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5" fillId="7" fontId="1" numFmtId="0" xfId="0" applyAlignment="1" applyBorder="1" applyFill="1" applyFont="1">
      <alignment readingOrder="0"/>
    </xf>
    <xf borderId="5" fillId="8" fontId="2" numFmtId="0" xfId="0" applyBorder="1" applyFill="1" applyFont="1"/>
    <xf borderId="5" fillId="9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Fill="1" applyFont="1"/>
    <xf borderId="0" fillId="9" fontId="1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2" fontId="1" numFmtId="0" xfId="0" applyAlignment="1" applyBorder="1" applyFill="1" applyFont="1">
      <alignment readingOrder="0"/>
    </xf>
    <xf borderId="10" fillId="3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/>
    </xf>
    <xf borderId="10" fillId="5" fontId="1" numFmtId="0" xfId="0" applyAlignment="1" applyBorder="1" applyFill="1" applyFont="1">
      <alignment readingOrder="0"/>
    </xf>
    <xf borderId="10" fillId="6" fontId="1" numFmtId="0" xfId="0" applyAlignment="1" applyBorder="1" applyFill="1" applyFont="1">
      <alignment readingOrder="0"/>
    </xf>
    <xf borderId="10" fillId="7" fontId="1" numFmtId="0" xfId="0" applyAlignment="1" applyBorder="1" applyFill="1" applyFont="1">
      <alignment readingOrder="0"/>
    </xf>
    <xf borderId="10" fillId="8" fontId="2" numFmtId="0" xfId="0" applyBorder="1" applyFill="1" applyFont="1"/>
    <xf borderId="10" fillId="9" fontId="1" numFmtId="0" xfId="0" applyAlignment="1" applyBorder="1" applyFill="1" applyFont="1">
      <alignment readingOrder="0"/>
    </xf>
    <xf borderId="10" fillId="7" fontId="2" numFmtId="0" xfId="0" applyAlignment="1" applyBorder="1" applyFill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2" fillId="2" fontId="1" numFmtId="0" xfId="0" applyAlignment="1" applyBorder="1" applyFill="1" applyFont="1">
      <alignment readingOrder="0"/>
    </xf>
    <xf borderId="13" fillId="3" fontId="1" numFmtId="0" xfId="0" applyAlignment="1" applyBorder="1" applyFill="1" applyFont="1">
      <alignment readingOrder="0"/>
    </xf>
    <xf borderId="13" fillId="4" fontId="1" numFmtId="0" xfId="0" applyAlignment="1" applyBorder="1" applyFill="1" applyFont="1">
      <alignment readingOrder="0"/>
    </xf>
    <xf borderId="13" fillId="5" fontId="1" numFmtId="0" xfId="0" applyAlignment="1" applyBorder="1" applyFill="1" applyFont="1">
      <alignment readingOrder="0"/>
    </xf>
    <xf borderId="13" fillId="6" fontId="1" numFmtId="0" xfId="0" applyAlignment="1" applyBorder="1" applyFill="1" applyFont="1">
      <alignment readingOrder="0"/>
    </xf>
    <xf borderId="13" fillId="7" fontId="1" numFmtId="0" xfId="0" applyAlignment="1" applyBorder="1" applyFill="1" applyFont="1">
      <alignment readingOrder="0"/>
    </xf>
    <xf borderId="13" fillId="8" fontId="2" numFmtId="0" xfId="0" applyBorder="1" applyFill="1" applyFont="1"/>
    <xf borderId="13" fillId="9" fontId="1" numFmtId="0" xfId="0" applyAlignment="1" applyBorder="1" applyFill="1" applyFont="1">
      <alignment readingOrder="0"/>
    </xf>
    <xf borderId="13" fillId="7" fontId="2" numFmtId="0" xfId="0" applyAlignment="1" applyBorder="1" applyFill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5" fillId="2" fontId="1" numFmtId="0" xfId="0" applyAlignment="1" applyBorder="1" applyFill="1" applyFont="1">
      <alignment readingOrder="0"/>
    </xf>
    <xf borderId="16" fillId="3" fontId="1" numFmtId="0" xfId="0" applyAlignment="1" applyBorder="1" applyFill="1" applyFont="1">
      <alignment readingOrder="0"/>
    </xf>
    <xf borderId="16" fillId="4" fontId="1" numFmtId="0" xfId="0" applyAlignment="1" applyBorder="1" applyFill="1" applyFont="1">
      <alignment readingOrder="0"/>
    </xf>
    <xf borderId="16" fillId="5" fontId="1" numFmtId="0" xfId="0" applyAlignment="1" applyBorder="1" applyFill="1" applyFont="1">
      <alignment readingOrder="0"/>
    </xf>
    <xf borderId="16" fillId="6" fontId="1" numFmtId="0" xfId="0" applyAlignment="1" applyBorder="1" applyFill="1" applyFont="1">
      <alignment readingOrder="0"/>
    </xf>
    <xf borderId="16" fillId="7" fontId="1" numFmtId="0" xfId="0" applyAlignment="1" applyBorder="1" applyFill="1" applyFont="1">
      <alignment readingOrder="0"/>
    </xf>
    <xf borderId="16" fillId="8" fontId="2" numFmtId="0" xfId="0" applyBorder="1" applyFill="1" applyFont="1"/>
    <xf borderId="16" fillId="9" fontId="1" numFmtId="0" xfId="0" applyAlignment="1" applyBorder="1" applyFill="1" applyFont="1">
      <alignment readingOrder="0"/>
    </xf>
    <xf borderId="16" fillId="7" fontId="2" numFmtId="0" xfId="0" applyAlignment="1" applyBorder="1" applyFill="1" applyFont="1">
      <alignment readingOrder="0"/>
    </xf>
    <xf borderId="0" fillId="0" fontId="1" numFmtId="49" xfId="0" applyAlignment="1" applyFont="1" applyNumberFormat="1">
      <alignment readingOrder="0"/>
    </xf>
    <xf borderId="3" fillId="8" fontId="2" numFmtId="0" xfId="0" applyAlignment="1" applyBorder="1" applyFill="1" applyFont="1">
      <alignment readingOrder="0"/>
    </xf>
    <xf borderId="4" fillId="2" fontId="3" numFmtId="0" xfId="0" applyAlignment="1" applyBorder="1" applyFill="1" applyFont="1">
      <alignment readingOrder="0" vertical="bottom"/>
    </xf>
    <xf borderId="5" fillId="3" fontId="3" numFmtId="0" xfId="0" applyAlignment="1" applyBorder="1" applyFill="1" applyFont="1">
      <alignment readingOrder="0" vertical="bottom"/>
    </xf>
    <xf borderId="5" fillId="4" fontId="3" numFmtId="0" xfId="0" applyAlignment="1" applyBorder="1" applyFill="1" applyFont="1">
      <alignment readingOrder="0" vertical="bottom"/>
    </xf>
    <xf borderId="5" fillId="5" fontId="3" numFmtId="0" xfId="0" applyAlignment="1" applyBorder="1" applyFill="1" applyFont="1">
      <alignment readingOrder="0" vertical="bottom"/>
    </xf>
    <xf borderId="5" fillId="6" fontId="3" numFmtId="0" xfId="0" applyAlignment="1" applyBorder="1" applyFill="1" applyFont="1">
      <alignment readingOrder="0" vertical="bottom"/>
    </xf>
    <xf borderId="5" fillId="7" fontId="3" numFmtId="0" xfId="0" applyAlignment="1" applyBorder="1" applyFill="1" applyFont="1">
      <alignment readingOrder="0" vertical="bottom"/>
    </xf>
    <xf borderId="3" fillId="8" fontId="3" numFmtId="0" xfId="0" applyAlignment="1" applyBorder="1" applyFill="1" applyFont="1">
      <alignment readingOrder="0" vertical="bottom"/>
    </xf>
    <xf borderId="8" fillId="8" fontId="2" numFmtId="0" xfId="0" applyBorder="1" applyFill="1" applyFont="1"/>
    <xf borderId="4" fillId="2" fontId="4" numFmtId="0" xfId="0" applyAlignment="1" applyBorder="1" applyFill="1" applyFont="1">
      <alignment readingOrder="0" vertical="bottom"/>
    </xf>
    <xf borderId="5" fillId="3" fontId="4" numFmtId="0" xfId="0" applyAlignment="1" applyBorder="1" applyFill="1" applyFont="1">
      <alignment readingOrder="0" vertical="bottom"/>
    </xf>
    <xf borderId="5" fillId="4" fontId="4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vertical="bottom"/>
    </xf>
    <xf borderId="5" fillId="7" fontId="4" numFmtId="0" xfId="0" applyAlignment="1" applyBorder="1" applyFill="1" applyFont="1">
      <alignment vertical="bottom"/>
    </xf>
    <xf borderId="8" fillId="8" fontId="3" numFmtId="0" xfId="0" applyAlignment="1" applyBorder="1" applyFill="1" applyFont="1">
      <alignment horizontal="right" vertical="bottom"/>
    </xf>
    <xf borderId="5" fillId="3" fontId="4" numFmtId="0" xfId="0" applyAlignment="1" applyBorder="1" applyFill="1" applyFont="1">
      <alignment vertical="bottom"/>
    </xf>
    <xf borderId="4" fillId="2" fontId="4" numFmtId="0" xfId="0" applyAlignment="1" applyBorder="1" applyFill="1" applyFont="1">
      <alignment vertical="bottom"/>
    </xf>
    <xf borderId="8" fillId="8" fontId="3" numFmtId="0" xfId="0" applyAlignment="1" applyBorder="1" applyFill="1" applyFont="1">
      <alignment horizontal="right" vertical="bottom"/>
    </xf>
    <xf borderId="4" fillId="2" fontId="4" numFmtId="0" xfId="0" applyAlignment="1" applyBorder="1" applyFill="1" applyFont="1">
      <alignment vertical="bottom"/>
    </xf>
    <xf borderId="5" fillId="3" fontId="4" numFmtId="0" xfId="0" applyAlignment="1" applyBorder="1" applyFill="1" applyFont="1">
      <alignment vertical="bottom"/>
    </xf>
    <xf borderId="5" fillId="4" fontId="4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vertical="bottom"/>
    </xf>
    <xf borderId="5" fillId="7" fontId="4" numFmtId="0" xfId="0" applyAlignment="1" applyBorder="1" applyFill="1" applyFont="1">
      <alignment vertical="bottom"/>
    </xf>
    <xf borderId="14" fillId="8" fontId="2" numFmtId="0" xfId="0" applyBorder="1" applyFill="1" applyFont="1"/>
    <xf borderId="7" fillId="2" fontId="4" numFmtId="0" xfId="0" applyAlignment="1" applyBorder="1" applyFill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7" fontId="4" numFmtId="0" xfId="0" applyAlignment="1" applyFill="1" applyFont="1">
      <alignment vertical="bottom"/>
    </xf>
    <xf borderId="7" fillId="2" fontId="4" numFmtId="0" xfId="0" applyAlignment="1" applyBorder="1" applyFill="1" applyFont="1">
      <alignment vertical="bottom"/>
    </xf>
    <xf borderId="7" fillId="2" fontId="4" numFmtId="0" xfId="0" applyAlignment="1" applyBorder="1" applyFill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7" fontId="4" numFmtId="0" xfId="0" applyAlignment="1" applyFill="1" applyFont="1">
      <alignment vertical="bottom"/>
    </xf>
    <xf borderId="14" fillId="8" fontId="3" numFmtId="0" xfId="0" applyAlignment="1" applyBorder="1" applyFill="1" applyFont="1">
      <alignment horizontal="right" vertical="bottom"/>
    </xf>
    <xf borderId="9" fillId="2" fontId="4" numFmtId="0" xfId="0" applyAlignment="1" applyBorder="1" applyFill="1" applyFont="1">
      <alignment readingOrder="0" vertical="bottom"/>
    </xf>
    <xf borderId="10" fillId="3" fontId="4" numFmtId="0" xfId="0" applyAlignment="1" applyBorder="1" applyFill="1" applyFont="1">
      <alignment readingOrder="0" vertical="bottom"/>
    </xf>
    <xf borderId="10" fillId="3" fontId="4" numFmtId="0" xfId="0" applyAlignment="1" applyBorder="1" applyFill="1" applyFont="1">
      <alignment vertical="bottom"/>
    </xf>
    <xf borderId="10" fillId="4" fontId="4" numFmtId="0" xfId="0" applyAlignment="1" applyBorder="1" applyFill="1" applyFont="1">
      <alignment vertical="bottom"/>
    </xf>
    <xf borderId="10" fillId="5" fontId="4" numFmtId="0" xfId="0" applyAlignment="1" applyBorder="1" applyFill="1" applyFont="1">
      <alignment vertical="bottom"/>
    </xf>
    <xf borderId="10" fillId="6" fontId="4" numFmtId="0" xfId="0" applyAlignment="1" applyBorder="1" applyFill="1" applyFont="1">
      <alignment vertical="bottom"/>
    </xf>
    <xf borderId="10" fillId="7" fontId="4" numFmtId="0" xfId="0" applyAlignment="1" applyBorder="1" applyFill="1" applyFont="1">
      <alignment vertical="bottom"/>
    </xf>
    <xf borderId="9" fillId="2" fontId="4" numFmtId="0" xfId="0" applyAlignment="1" applyBorder="1" applyFill="1" applyFont="1">
      <alignment vertical="bottom"/>
    </xf>
    <xf borderId="9" fillId="2" fontId="4" numFmtId="0" xfId="0" applyAlignment="1" applyBorder="1" applyFill="1" applyFont="1">
      <alignment vertical="bottom"/>
    </xf>
    <xf borderId="10" fillId="3" fontId="4" numFmtId="0" xfId="0" applyAlignment="1" applyBorder="1" applyFill="1" applyFont="1">
      <alignment vertical="bottom"/>
    </xf>
    <xf borderId="10" fillId="4" fontId="4" numFmtId="0" xfId="0" applyAlignment="1" applyBorder="1" applyFill="1" applyFont="1">
      <alignment vertical="bottom"/>
    </xf>
    <xf borderId="10" fillId="5" fontId="4" numFmtId="0" xfId="0" applyAlignment="1" applyBorder="1" applyFill="1" applyFont="1">
      <alignment vertical="bottom"/>
    </xf>
    <xf borderId="10" fillId="6" fontId="4" numFmtId="0" xfId="0" applyAlignment="1" applyBorder="1" applyFill="1" applyFont="1">
      <alignment vertical="bottom"/>
    </xf>
    <xf borderId="10" fillId="7" fontId="4" numFmtId="0" xfId="0" applyAlignment="1" applyBorder="1" applyFill="1" applyFont="1">
      <alignment vertical="bottom"/>
    </xf>
    <xf borderId="12" fillId="2" fontId="4" numFmtId="0" xfId="0" applyAlignment="1" applyBorder="1" applyFill="1" applyFont="1">
      <alignment readingOrder="0" vertical="bottom"/>
    </xf>
    <xf borderId="13" fillId="3" fontId="4" numFmtId="0" xfId="0" applyAlignment="1" applyBorder="1" applyFill="1" applyFont="1">
      <alignment readingOrder="0" vertical="bottom"/>
    </xf>
    <xf borderId="13" fillId="3" fontId="4" numFmtId="0" xfId="0" applyAlignment="1" applyBorder="1" applyFill="1" applyFont="1">
      <alignment vertical="bottom"/>
    </xf>
    <xf borderId="13" fillId="4" fontId="4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vertical="bottom"/>
    </xf>
    <xf borderId="13" fillId="6" fontId="4" numFmtId="0" xfId="0" applyAlignment="1" applyBorder="1" applyFill="1" applyFont="1">
      <alignment vertical="bottom"/>
    </xf>
    <xf borderId="13" fillId="7" fontId="4" numFmtId="0" xfId="0" applyAlignment="1" applyBorder="1" applyFill="1" applyFont="1">
      <alignment vertical="bottom"/>
    </xf>
    <xf borderId="12" fillId="2" fontId="4" numFmtId="0" xfId="0" applyAlignment="1" applyBorder="1" applyFill="1" applyFont="1">
      <alignment vertical="bottom"/>
    </xf>
    <xf borderId="12" fillId="2" fontId="4" numFmtId="0" xfId="0" applyAlignment="1" applyBorder="1" applyFill="1" applyFont="1">
      <alignment vertical="bottom"/>
    </xf>
    <xf borderId="13" fillId="3" fontId="4" numFmtId="0" xfId="0" applyAlignment="1" applyBorder="1" applyFill="1" applyFont="1">
      <alignment vertical="bottom"/>
    </xf>
    <xf borderId="13" fillId="4" fontId="4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vertical="bottom"/>
    </xf>
    <xf borderId="13" fillId="6" fontId="4" numFmtId="0" xfId="0" applyAlignment="1" applyBorder="1" applyFill="1" applyFont="1">
      <alignment vertical="bottom"/>
    </xf>
    <xf borderId="13" fillId="7" fontId="4" numFmtId="0" xfId="0" applyAlignment="1" applyBorder="1" applyFill="1" applyFont="1">
      <alignment vertical="bottom"/>
    </xf>
    <xf borderId="17" fillId="8" fontId="2" numFmtId="0" xfId="0" applyBorder="1" applyFill="1" applyFont="1"/>
    <xf borderId="15" fillId="2" fontId="4" numFmtId="0" xfId="0" applyAlignment="1" applyBorder="1" applyFill="1" applyFont="1">
      <alignment readingOrder="0" vertical="bottom"/>
    </xf>
    <xf borderId="16" fillId="3" fontId="4" numFmtId="0" xfId="0" applyAlignment="1" applyBorder="1" applyFill="1" applyFont="1">
      <alignment readingOrder="0" vertical="bottom"/>
    </xf>
    <xf borderId="16" fillId="3" fontId="4" numFmtId="0" xfId="0" applyAlignment="1" applyBorder="1" applyFill="1" applyFont="1">
      <alignment vertical="bottom"/>
    </xf>
    <xf borderId="16" fillId="4" fontId="4" numFmtId="0" xfId="0" applyAlignment="1" applyBorder="1" applyFill="1" applyFont="1">
      <alignment vertical="bottom"/>
    </xf>
    <xf borderId="16" fillId="5" fontId="4" numFmtId="0" xfId="0" applyAlignment="1" applyBorder="1" applyFill="1" applyFont="1">
      <alignment vertical="bottom"/>
    </xf>
    <xf borderId="16" fillId="6" fontId="4" numFmtId="0" xfId="0" applyAlignment="1" applyBorder="1" applyFill="1" applyFont="1">
      <alignment vertical="bottom"/>
    </xf>
    <xf borderId="16" fillId="7" fontId="4" numFmtId="0" xfId="0" applyAlignment="1" applyBorder="1" applyFill="1" applyFont="1">
      <alignment vertical="bottom"/>
    </xf>
    <xf borderId="15" fillId="2" fontId="4" numFmtId="0" xfId="0" applyAlignment="1" applyBorder="1" applyFill="1" applyFont="1">
      <alignment vertical="bottom"/>
    </xf>
    <xf borderId="15" fillId="2" fontId="4" numFmtId="0" xfId="0" applyAlignment="1" applyBorder="1" applyFill="1" applyFont="1">
      <alignment vertical="bottom"/>
    </xf>
    <xf borderId="16" fillId="3" fontId="4" numFmtId="0" xfId="0" applyAlignment="1" applyBorder="1" applyFill="1" applyFont="1">
      <alignment vertical="bottom"/>
    </xf>
    <xf borderId="16" fillId="4" fontId="4" numFmtId="0" xfId="0" applyAlignment="1" applyBorder="1" applyFill="1" applyFont="1">
      <alignment vertical="bottom"/>
    </xf>
    <xf borderId="16" fillId="5" fontId="4" numFmtId="0" xfId="0" applyAlignment="1" applyBorder="1" applyFill="1" applyFont="1">
      <alignment vertical="bottom"/>
    </xf>
    <xf borderId="16" fillId="6" fontId="4" numFmtId="0" xfId="0" applyAlignment="1" applyBorder="1" applyFill="1" applyFont="1">
      <alignment vertical="bottom"/>
    </xf>
    <xf borderId="16" fillId="7" fontId="4" numFmtId="0" xfId="0" applyAlignment="1" applyBorder="1" applyFill="1" applyFont="1">
      <alignment vertical="bottom"/>
    </xf>
    <xf borderId="17" fillId="8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21.0</v>
      </c>
      <c r="B2" s="1" t="s">
        <v>7</v>
      </c>
      <c r="C2" s="1">
        <v>23.0</v>
      </c>
    </row>
    <row r="3">
      <c r="A3" s="1">
        <v>22.0</v>
      </c>
      <c r="B3" s="1" t="s">
        <v>8</v>
      </c>
      <c r="C3" s="1">
        <v>24.0</v>
      </c>
    </row>
    <row r="4">
      <c r="A4" s="1">
        <v>23.0</v>
      </c>
      <c r="B4" s="1" t="s">
        <v>9</v>
      </c>
      <c r="C4" s="1">
        <v>25.0</v>
      </c>
    </row>
    <row r="10">
      <c r="D10" s="1" t="s">
        <v>10</v>
      </c>
      <c r="E10" s="1" t="s">
        <v>11</v>
      </c>
    </row>
    <row r="11">
      <c r="A11" s="1" t="s">
        <v>12</v>
      </c>
      <c r="B11" s="1" t="s">
        <v>13</v>
      </c>
      <c r="C11" s="1" t="s">
        <v>14</v>
      </c>
      <c r="D11" s="1">
        <v>4.0</v>
      </c>
      <c r="E11" s="1">
        <v>3.0</v>
      </c>
    </row>
    <row r="12">
      <c r="A12" s="1" t="s">
        <v>12</v>
      </c>
      <c r="B12" s="1" t="s">
        <v>15</v>
      </c>
      <c r="C12" s="1" t="s">
        <v>16</v>
      </c>
      <c r="E12" s="1">
        <v>22.0</v>
      </c>
    </row>
    <row r="13">
      <c r="A13" s="1" t="s">
        <v>17</v>
      </c>
      <c r="B13" s="1" t="s">
        <v>18</v>
      </c>
      <c r="C13" s="1" t="s">
        <v>19</v>
      </c>
      <c r="E13" s="1">
        <v>1.0</v>
      </c>
    </row>
    <row r="14">
      <c r="A14" s="1" t="s">
        <v>17</v>
      </c>
      <c r="B14" s="1" t="s">
        <v>20</v>
      </c>
      <c r="C14" s="1" t="s">
        <v>21</v>
      </c>
      <c r="D14" s="1">
        <v>6.0</v>
      </c>
      <c r="E14" s="1">
        <v>5.0</v>
      </c>
    </row>
    <row r="15">
      <c r="A15" s="1" t="s">
        <v>22</v>
      </c>
      <c r="B15" s="1" t="s">
        <v>23</v>
      </c>
      <c r="C15" s="1" t="s">
        <v>24</v>
      </c>
      <c r="E15" s="1">
        <v>9.0</v>
      </c>
    </row>
    <row r="16">
      <c r="A16" s="1" t="s">
        <v>22</v>
      </c>
      <c r="B16" s="1" t="s">
        <v>25</v>
      </c>
      <c r="C16" s="1" t="s">
        <v>26</v>
      </c>
      <c r="E16" s="1">
        <v>21.0</v>
      </c>
    </row>
    <row r="17">
      <c r="A17" s="1" t="s">
        <v>27</v>
      </c>
      <c r="B17" s="1" t="s">
        <v>28</v>
      </c>
      <c r="C17" s="1" t="s">
        <v>29</v>
      </c>
      <c r="E17" s="1">
        <v>2.0</v>
      </c>
    </row>
    <row r="18">
      <c r="A18" s="1" t="s">
        <v>27</v>
      </c>
      <c r="B18" s="1" t="s">
        <v>30</v>
      </c>
      <c r="C18" s="1" t="s">
        <v>31</v>
      </c>
      <c r="E18" s="1">
        <v>21.0</v>
      </c>
    </row>
    <row r="19">
      <c r="A19" s="1" t="s">
        <v>32</v>
      </c>
      <c r="B19" s="1" t="s">
        <v>33</v>
      </c>
      <c r="C19" s="1" t="s">
        <v>34</v>
      </c>
      <c r="D19" s="1">
        <v>7.0</v>
      </c>
      <c r="E19" s="1">
        <v>6.0</v>
      </c>
    </row>
    <row r="20">
      <c r="A20" s="1" t="s">
        <v>32</v>
      </c>
      <c r="B20" s="1" t="s">
        <v>35</v>
      </c>
      <c r="C20" s="1" t="s">
        <v>36</v>
      </c>
      <c r="E20" s="1">
        <v>11.0</v>
      </c>
    </row>
    <row r="21">
      <c r="A21" s="1" t="s">
        <v>37</v>
      </c>
      <c r="B21" s="1" t="s">
        <v>38</v>
      </c>
      <c r="C21" s="1" t="s">
        <v>39</v>
      </c>
      <c r="D21" s="1">
        <v>5.0</v>
      </c>
      <c r="E21" s="1">
        <v>4.0</v>
      </c>
    </row>
    <row r="22">
      <c r="A22" s="1" t="s">
        <v>37</v>
      </c>
      <c r="B22" s="1" t="s">
        <v>40</v>
      </c>
      <c r="C22" s="1" t="s">
        <v>41</v>
      </c>
      <c r="E22" s="1">
        <v>10.0</v>
      </c>
    </row>
    <row r="23">
      <c r="A23" s="1" t="s">
        <v>42</v>
      </c>
      <c r="B23" s="1" t="s">
        <v>43</v>
      </c>
      <c r="C23" s="1" t="s">
        <v>44</v>
      </c>
      <c r="D23" s="1">
        <v>3.0</v>
      </c>
      <c r="E23" s="1">
        <v>8.0</v>
      </c>
    </row>
    <row r="24">
      <c r="A24" s="1" t="s">
        <v>42</v>
      </c>
      <c r="B24" s="1" t="s">
        <v>45</v>
      </c>
      <c r="C24" s="1" t="s">
        <v>46</v>
      </c>
      <c r="E24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D1" s="1" t="s">
        <v>48</v>
      </c>
    </row>
    <row r="2">
      <c r="A2" s="1">
        <v>1.0</v>
      </c>
      <c r="B2" s="1">
        <v>25.0</v>
      </c>
      <c r="D2" s="1">
        <v>1.0</v>
      </c>
      <c r="E2" s="1">
        <v>8.0</v>
      </c>
    </row>
    <row r="3">
      <c r="A3" s="1">
        <v>2.0</v>
      </c>
      <c r="B3" s="1">
        <v>18.0</v>
      </c>
      <c r="D3" s="1">
        <v>2.0</v>
      </c>
      <c r="E3" s="1">
        <v>7.0</v>
      </c>
    </row>
    <row r="4">
      <c r="A4" s="1">
        <v>3.0</v>
      </c>
      <c r="B4" s="1">
        <v>15.0</v>
      </c>
      <c r="D4" s="1">
        <v>3.0</v>
      </c>
      <c r="E4" s="1">
        <v>6.0</v>
      </c>
    </row>
    <row r="5">
      <c r="A5" s="1">
        <v>4.0</v>
      </c>
      <c r="B5" s="1">
        <v>12.0</v>
      </c>
      <c r="D5" s="1">
        <v>4.0</v>
      </c>
      <c r="E5" s="1">
        <v>5.0</v>
      </c>
    </row>
    <row r="6">
      <c r="A6" s="1">
        <v>5.0</v>
      </c>
      <c r="B6" s="1">
        <v>10.0</v>
      </c>
      <c r="D6" s="1">
        <v>5.0</v>
      </c>
      <c r="E6" s="1">
        <v>4.0</v>
      </c>
    </row>
    <row r="7">
      <c r="A7" s="1">
        <v>6.0</v>
      </c>
      <c r="B7" s="1">
        <v>8.0</v>
      </c>
      <c r="D7" s="1">
        <v>6.0</v>
      </c>
      <c r="E7" s="1">
        <v>3.0</v>
      </c>
    </row>
    <row r="8">
      <c r="A8" s="1">
        <v>7.0</v>
      </c>
      <c r="B8" s="1">
        <v>6.0</v>
      </c>
      <c r="D8" s="1">
        <v>7.0</v>
      </c>
      <c r="E8" s="1">
        <v>2.0</v>
      </c>
    </row>
    <row r="9">
      <c r="A9" s="1">
        <v>8.0</v>
      </c>
      <c r="B9" s="1">
        <v>4.0</v>
      </c>
      <c r="D9" s="1">
        <v>8.0</v>
      </c>
      <c r="E9" s="1">
        <v>1.0</v>
      </c>
    </row>
    <row r="10">
      <c r="A10" s="1">
        <v>9.0</v>
      </c>
      <c r="B10" s="1">
        <v>3.0</v>
      </c>
      <c r="D10" s="1">
        <v>9.0</v>
      </c>
      <c r="E10" s="1">
        <v>0.5</v>
      </c>
    </row>
    <row r="11">
      <c r="A11" s="1">
        <v>10.0</v>
      </c>
      <c r="B11" s="1">
        <v>2.0</v>
      </c>
      <c r="D11" s="1">
        <v>10.0</v>
      </c>
      <c r="E11" s="1">
        <v>0.5</v>
      </c>
    </row>
    <row r="12">
      <c r="A12" s="1">
        <v>11.0</v>
      </c>
      <c r="B12" s="1">
        <v>1.0</v>
      </c>
      <c r="D12" s="1">
        <v>11.0</v>
      </c>
      <c r="E12" s="1">
        <v>0.5</v>
      </c>
    </row>
    <row r="13">
      <c r="A13" s="1">
        <v>12.0</v>
      </c>
      <c r="B13" s="1">
        <v>1.0</v>
      </c>
      <c r="D13" s="1">
        <v>12.0</v>
      </c>
      <c r="E13" s="1">
        <v>0.5</v>
      </c>
    </row>
    <row r="14">
      <c r="A14" s="1">
        <v>13.0</v>
      </c>
      <c r="B14" s="1">
        <v>1.0</v>
      </c>
      <c r="D14" s="1">
        <v>13.0</v>
      </c>
      <c r="E14" s="1">
        <v>0.5</v>
      </c>
    </row>
    <row r="15">
      <c r="A15" s="1">
        <v>14.0</v>
      </c>
      <c r="B15" s="1">
        <v>1.0</v>
      </c>
      <c r="D15" s="1">
        <v>14.0</v>
      </c>
      <c r="E15" s="1">
        <v>0.5</v>
      </c>
    </row>
    <row r="16">
      <c r="A16" s="1">
        <v>15.0</v>
      </c>
      <c r="B16" s="1">
        <v>1.0</v>
      </c>
      <c r="D16" s="1">
        <v>15.0</v>
      </c>
      <c r="E16" s="1">
        <v>0.5</v>
      </c>
    </row>
    <row r="17">
      <c r="A17" s="1">
        <v>16.0</v>
      </c>
      <c r="B17" s="1">
        <v>1.0</v>
      </c>
      <c r="D17" s="1">
        <v>16.0</v>
      </c>
      <c r="E17" s="1">
        <v>0.5</v>
      </c>
    </row>
    <row r="18">
      <c r="A18" s="1">
        <v>17.0</v>
      </c>
      <c r="B18" s="1">
        <v>1.0</v>
      </c>
      <c r="D18" s="1">
        <v>17.0</v>
      </c>
      <c r="E18" s="1">
        <v>0.5</v>
      </c>
    </row>
    <row r="19">
      <c r="A19" s="1">
        <v>18.0</v>
      </c>
      <c r="B19" s="1">
        <v>1.0</v>
      </c>
      <c r="D19" s="1">
        <v>18.0</v>
      </c>
      <c r="E19" s="1">
        <v>0.5</v>
      </c>
    </row>
    <row r="20">
      <c r="A20" s="1">
        <v>19.0</v>
      </c>
      <c r="B20" s="1">
        <v>1.0</v>
      </c>
      <c r="D20" s="1">
        <v>19.0</v>
      </c>
      <c r="E20" s="1">
        <v>0.5</v>
      </c>
    </row>
    <row r="21">
      <c r="A21" s="1">
        <v>20.0</v>
      </c>
      <c r="B21" s="1">
        <v>1.0</v>
      </c>
      <c r="D21" s="1">
        <v>20.0</v>
      </c>
      <c r="E21" s="1">
        <v>0.5</v>
      </c>
    </row>
    <row r="22">
      <c r="A22" s="1">
        <v>21.0</v>
      </c>
      <c r="B22" s="1">
        <v>0.0</v>
      </c>
      <c r="C22" s="1" t="s">
        <v>7</v>
      </c>
      <c r="D22" s="1">
        <v>21.0</v>
      </c>
      <c r="E22" s="1">
        <v>0.0</v>
      </c>
      <c r="F22" s="1" t="s">
        <v>7</v>
      </c>
    </row>
    <row r="23">
      <c r="A23" s="1">
        <v>22.0</v>
      </c>
      <c r="B23" s="1">
        <v>0.0</v>
      </c>
      <c r="C23" s="1" t="s">
        <v>8</v>
      </c>
      <c r="D23" s="1">
        <v>22.0</v>
      </c>
      <c r="E23" s="1">
        <v>0.0</v>
      </c>
      <c r="F23" s="1" t="s">
        <v>8</v>
      </c>
    </row>
    <row r="24">
      <c r="A24" s="1">
        <v>23.0</v>
      </c>
      <c r="B24" s="1">
        <v>0.0</v>
      </c>
      <c r="C24" s="1" t="s">
        <v>9</v>
      </c>
      <c r="D24" s="1">
        <v>23.0</v>
      </c>
      <c r="E24" s="1">
        <v>0.0</v>
      </c>
      <c r="F24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</row>
    <row r="2">
      <c r="A2" s="1" t="s">
        <v>17</v>
      </c>
      <c r="B2" s="1" t="s">
        <v>18</v>
      </c>
      <c r="C2" s="1" t="s">
        <v>19</v>
      </c>
      <c r="D2" s="1">
        <v>1.0</v>
      </c>
      <c r="E2" s="1">
        <v>1.0</v>
      </c>
      <c r="F2" s="1" t="s">
        <v>129</v>
      </c>
      <c r="G2" s="1">
        <v>30.0</v>
      </c>
      <c r="H2" s="1">
        <v>1.0</v>
      </c>
      <c r="I2" s="1">
        <v>1.0</v>
      </c>
      <c r="J2" s="1" t="s">
        <v>130</v>
      </c>
      <c r="K2" s="1">
        <v>31.0</v>
      </c>
      <c r="L2" s="1">
        <v>2.0</v>
      </c>
      <c r="M2" s="1">
        <v>1.0</v>
      </c>
      <c r="N2" s="1" t="s">
        <v>130</v>
      </c>
      <c r="O2" s="1">
        <v>24.0</v>
      </c>
      <c r="P2" s="1">
        <v>1.0</v>
      </c>
      <c r="Q2" s="1">
        <v>1.0</v>
      </c>
      <c r="R2" s="1" t="s">
        <v>130</v>
      </c>
      <c r="S2" s="1">
        <v>31.0</v>
      </c>
      <c r="T2" s="1">
        <v>1.0</v>
      </c>
      <c r="U2" s="1">
        <v>2.0</v>
      </c>
      <c r="V2" s="1" t="s">
        <v>129</v>
      </c>
      <c r="W2" s="1">
        <v>29.0</v>
      </c>
      <c r="X2" s="1">
        <v>10.0</v>
      </c>
      <c r="Y2" s="1">
        <v>4.0</v>
      </c>
      <c r="Z2" s="1" t="s">
        <v>130</v>
      </c>
      <c r="AA2" s="1">
        <v>3.0</v>
      </c>
      <c r="AB2" s="1">
        <v>1.0</v>
      </c>
      <c r="AC2" s="1">
        <v>4.0</v>
      </c>
      <c r="AD2" s="1" t="s">
        <v>129</v>
      </c>
      <c r="AE2" s="1">
        <v>27.0</v>
      </c>
      <c r="AF2" s="1">
        <v>2.0</v>
      </c>
      <c r="AG2" s="1">
        <v>2.0</v>
      </c>
      <c r="AH2" s="1" t="s">
        <v>129</v>
      </c>
      <c r="AI2" s="1">
        <v>22.0</v>
      </c>
      <c r="AJ2" s="1">
        <v>1.0</v>
      </c>
      <c r="AK2" s="1">
        <v>1.0</v>
      </c>
      <c r="AL2" s="1" t="s">
        <v>129</v>
      </c>
      <c r="AM2" s="1">
        <v>30.0</v>
      </c>
      <c r="AN2" s="1">
        <v>2.0</v>
      </c>
      <c r="AO2" s="1">
        <v>2.0</v>
      </c>
      <c r="AP2" s="1" t="s">
        <v>130</v>
      </c>
      <c r="AQ2" s="1">
        <v>23.0</v>
      </c>
      <c r="AR2" s="1">
        <v>21.0</v>
      </c>
      <c r="AS2" s="1">
        <v>17.0</v>
      </c>
      <c r="AT2" s="1" t="s">
        <v>129</v>
      </c>
      <c r="AU2" s="1">
        <v>0.0</v>
      </c>
      <c r="AV2" s="1">
        <v>8.0</v>
      </c>
      <c r="AW2" s="1">
        <v>2.0</v>
      </c>
      <c r="AX2" s="1" t="s">
        <v>129</v>
      </c>
      <c r="AY2" s="1">
        <v>5.0</v>
      </c>
      <c r="AZ2" s="1">
        <v>1.0</v>
      </c>
      <c r="BA2" s="1">
        <v>1.0</v>
      </c>
      <c r="BB2" s="1" t="s">
        <v>130</v>
      </c>
      <c r="BC2" s="1">
        <v>31.0</v>
      </c>
      <c r="BD2" s="1">
        <v>1.0</v>
      </c>
      <c r="BE2" s="1">
        <v>2.0</v>
      </c>
      <c r="BF2" s="1" t="s">
        <v>129</v>
      </c>
      <c r="BG2" s="1">
        <v>29.0</v>
      </c>
      <c r="BH2" s="1">
        <v>2.0</v>
      </c>
      <c r="BI2" s="1">
        <v>5.0</v>
      </c>
      <c r="BJ2" s="1" t="s">
        <v>130</v>
      </c>
      <c r="BK2" s="1">
        <v>20.0</v>
      </c>
      <c r="BL2" s="1">
        <v>3.0</v>
      </c>
      <c r="BM2" s="1">
        <v>6.0</v>
      </c>
      <c r="BN2" s="1" t="s">
        <v>129</v>
      </c>
      <c r="BO2" s="1">
        <v>18.0</v>
      </c>
      <c r="BP2" s="1">
        <v>1.0</v>
      </c>
      <c r="BQ2" s="1">
        <v>4.0</v>
      </c>
      <c r="BR2" s="1" t="s">
        <v>129</v>
      </c>
      <c r="BS2" s="1">
        <v>27.0</v>
      </c>
      <c r="BT2" s="1">
        <v>2.0</v>
      </c>
      <c r="BU2" s="1">
        <v>1.0</v>
      </c>
      <c r="BV2" s="1" t="s">
        <v>129</v>
      </c>
      <c r="BW2" s="1">
        <v>23.0</v>
      </c>
      <c r="BX2" s="1">
        <v>1.0</v>
      </c>
      <c r="BY2" s="1">
        <v>1.0</v>
      </c>
      <c r="BZ2" s="1" t="s">
        <v>130</v>
      </c>
      <c r="CA2" s="1">
        <v>31.0</v>
      </c>
      <c r="CB2" s="1">
        <v>0.0</v>
      </c>
    </row>
    <row r="3">
      <c r="A3" s="1" t="s">
        <v>17</v>
      </c>
      <c r="B3" s="1" t="s">
        <v>20</v>
      </c>
      <c r="C3" s="1" t="s">
        <v>131</v>
      </c>
      <c r="D3" s="1">
        <v>22.0</v>
      </c>
      <c r="E3" s="1">
        <v>22.0</v>
      </c>
      <c r="F3" s="1" t="s">
        <v>129</v>
      </c>
      <c r="G3" s="1">
        <v>0.0</v>
      </c>
      <c r="H3" s="1">
        <v>22.0</v>
      </c>
      <c r="I3" s="1">
        <v>22.0</v>
      </c>
      <c r="J3" s="1" t="s">
        <v>129</v>
      </c>
      <c r="K3" s="1">
        <v>0.0</v>
      </c>
      <c r="L3" s="1">
        <v>9.0</v>
      </c>
      <c r="M3" s="1">
        <v>5.0</v>
      </c>
      <c r="N3" s="1" t="s">
        <v>129</v>
      </c>
      <c r="O3" s="1">
        <v>2.0</v>
      </c>
      <c r="P3" s="1">
        <v>9.0</v>
      </c>
      <c r="Q3" s="1">
        <v>3.0</v>
      </c>
      <c r="R3" s="1" t="s">
        <v>129</v>
      </c>
      <c r="S3" s="1">
        <v>4.0</v>
      </c>
      <c r="T3" s="1">
        <v>22.0</v>
      </c>
      <c r="U3" s="1">
        <v>22.0</v>
      </c>
      <c r="V3" s="1" t="s">
        <v>129</v>
      </c>
      <c r="W3" s="1">
        <v>0.0</v>
      </c>
      <c r="X3" s="1">
        <v>22.0</v>
      </c>
      <c r="Y3" s="1">
        <v>22.0</v>
      </c>
      <c r="Z3" s="1" t="s">
        <v>129</v>
      </c>
      <c r="AA3" s="1">
        <v>0.0</v>
      </c>
      <c r="AB3" s="1">
        <v>4.0</v>
      </c>
      <c r="AC3" s="1">
        <v>6.0</v>
      </c>
      <c r="AD3" s="1" t="s">
        <v>129</v>
      </c>
      <c r="AE3" s="1">
        <v>12.0</v>
      </c>
      <c r="AF3" s="1">
        <v>3.0</v>
      </c>
      <c r="AG3" s="1">
        <v>1.0</v>
      </c>
      <c r="AH3" s="1" t="s">
        <v>129</v>
      </c>
      <c r="AI3" s="1">
        <v>20.0</v>
      </c>
      <c r="AJ3" s="1">
        <v>3.0</v>
      </c>
      <c r="AK3" s="1">
        <v>3.0</v>
      </c>
      <c r="AL3" s="1" t="s">
        <v>129</v>
      </c>
      <c r="AM3" s="1">
        <v>18.0</v>
      </c>
      <c r="AN3" s="1">
        <v>22.0</v>
      </c>
      <c r="AO3" s="1">
        <v>22.0</v>
      </c>
      <c r="AP3" s="1" t="s">
        <v>129</v>
      </c>
      <c r="AQ3" s="1">
        <v>0.0</v>
      </c>
      <c r="AR3" s="1">
        <v>4.0</v>
      </c>
      <c r="AS3" s="1">
        <v>2.0</v>
      </c>
      <c r="AT3" s="1" t="s">
        <v>129</v>
      </c>
      <c r="AU3" s="1">
        <v>16.0</v>
      </c>
      <c r="AV3" s="1">
        <v>22.0</v>
      </c>
      <c r="AW3" s="1">
        <v>22.0</v>
      </c>
      <c r="AX3" s="1" t="s">
        <v>129</v>
      </c>
      <c r="AY3" s="1">
        <v>0.0</v>
      </c>
      <c r="AZ3" s="1">
        <v>12.0</v>
      </c>
      <c r="BA3" s="1">
        <v>5.0</v>
      </c>
      <c r="BB3" s="1" t="s">
        <v>129</v>
      </c>
      <c r="BC3" s="1">
        <v>2.0</v>
      </c>
      <c r="BD3" s="1">
        <v>22.0</v>
      </c>
      <c r="BE3" s="1">
        <v>22.0</v>
      </c>
      <c r="BF3" s="1" t="s">
        <v>129</v>
      </c>
      <c r="BG3" s="1">
        <v>0.0</v>
      </c>
      <c r="BH3" s="1">
        <v>4.0</v>
      </c>
      <c r="BI3" s="1">
        <v>1.0</v>
      </c>
      <c r="BJ3" s="1" t="s">
        <v>129</v>
      </c>
      <c r="BK3" s="1">
        <v>15.0</v>
      </c>
      <c r="BL3" s="1">
        <v>6.0</v>
      </c>
      <c r="BM3" s="1">
        <v>7.0</v>
      </c>
      <c r="BN3" s="1" t="s">
        <v>129</v>
      </c>
      <c r="BO3" s="1">
        <v>8.0</v>
      </c>
      <c r="BP3" s="1">
        <v>22.0</v>
      </c>
      <c r="BQ3" s="1">
        <v>22.0</v>
      </c>
      <c r="BR3" s="1" t="s">
        <v>129</v>
      </c>
      <c r="BS3" s="1">
        <v>0.0</v>
      </c>
      <c r="BT3" s="1">
        <v>22.0</v>
      </c>
      <c r="BU3" s="1">
        <v>22.0</v>
      </c>
      <c r="BV3" s="1" t="s">
        <v>129</v>
      </c>
      <c r="BW3" s="1">
        <v>0.0</v>
      </c>
      <c r="BX3" s="1">
        <v>22.0</v>
      </c>
      <c r="BY3" s="1">
        <v>22.0</v>
      </c>
      <c r="BZ3" s="1" t="s">
        <v>129</v>
      </c>
      <c r="CA3" s="1">
        <v>0.0</v>
      </c>
      <c r="CB3" s="1">
        <v>0.0</v>
      </c>
    </row>
    <row r="4">
      <c r="A4" s="1" t="s">
        <v>32</v>
      </c>
      <c r="B4" s="1" t="s">
        <v>132</v>
      </c>
      <c r="C4" s="1" t="s">
        <v>133</v>
      </c>
      <c r="D4" s="1">
        <v>4.0</v>
      </c>
      <c r="E4" s="1">
        <v>2.0</v>
      </c>
      <c r="F4" s="1" t="s">
        <v>129</v>
      </c>
      <c r="G4" s="1">
        <v>14.0</v>
      </c>
      <c r="H4" s="1">
        <v>12.0</v>
      </c>
      <c r="I4" s="1">
        <v>4.0</v>
      </c>
      <c r="J4" s="1" t="s">
        <v>129</v>
      </c>
      <c r="K4" s="1">
        <v>1.0</v>
      </c>
      <c r="L4" s="1">
        <v>4.0</v>
      </c>
      <c r="M4" s="1">
        <v>3.0</v>
      </c>
      <c r="N4" s="1" t="s">
        <v>129</v>
      </c>
      <c r="O4" s="1">
        <v>13.0</v>
      </c>
      <c r="P4" s="1">
        <v>7.0</v>
      </c>
      <c r="Q4" s="1">
        <v>4.0</v>
      </c>
      <c r="R4" s="1" t="s">
        <v>129</v>
      </c>
      <c r="S4" s="1">
        <v>8.0</v>
      </c>
      <c r="T4" s="1">
        <v>3.0</v>
      </c>
      <c r="U4" s="1">
        <v>4.0</v>
      </c>
      <c r="V4" s="1" t="s">
        <v>129</v>
      </c>
      <c r="W4" s="1">
        <v>17.0</v>
      </c>
      <c r="X4" s="1">
        <v>21.0</v>
      </c>
      <c r="Y4" s="1">
        <v>3.0</v>
      </c>
      <c r="Z4" s="1" t="s">
        <v>129</v>
      </c>
      <c r="AA4" s="1">
        <v>0.0</v>
      </c>
      <c r="AB4" s="1">
        <v>2.0</v>
      </c>
      <c r="AC4" s="1">
        <v>2.0</v>
      </c>
      <c r="AD4" s="1" t="s">
        <v>129</v>
      </c>
      <c r="AE4" s="1">
        <v>22.0</v>
      </c>
      <c r="AF4" s="1">
        <v>4.0</v>
      </c>
      <c r="AG4" s="1">
        <v>8.0</v>
      </c>
      <c r="AH4" s="1" t="s">
        <v>129</v>
      </c>
      <c r="AI4" s="1">
        <v>12.0</v>
      </c>
      <c r="AJ4" s="1">
        <v>4.0</v>
      </c>
      <c r="AK4" s="1">
        <v>6.0</v>
      </c>
      <c r="AL4" s="1" t="s">
        <v>129</v>
      </c>
      <c r="AM4" s="1">
        <v>12.0</v>
      </c>
      <c r="AN4" s="1">
        <v>8.0</v>
      </c>
      <c r="AO4" s="1">
        <v>1.0</v>
      </c>
      <c r="AP4" s="1" t="s">
        <v>129</v>
      </c>
      <c r="AQ4" s="1">
        <v>5.0</v>
      </c>
      <c r="AR4" s="1">
        <v>5.0</v>
      </c>
      <c r="AS4" s="1">
        <v>1.0</v>
      </c>
      <c r="AT4" s="1" t="s">
        <v>129</v>
      </c>
      <c r="AU4" s="1">
        <v>13.0</v>
      </c>
      <c r="AV4" s="1">
        <v>9.0</v>
      </c>
      <c r="AW4" s="1">
        <v>1.0</v>
      </c>
      <c r="AX4" s="1" t="s">
        <v>129</v>
      </c>
      <c r="AY4" s="1">
        <v>5.0</v>
      </c>
      <c r="AZ4" s="1">
        <v>10.0</v>
      </c>
      <c r="BA4" s="1">
        <v>4.0</v>
      </c>
      <c r="BB4" s="1" t="s">
        <v>129</v>
      </c>
      <c r="BC4" s="1">
        <v>3.0</v>
      </c>
      <c r="BD4" s="1">
        <v>3.0</v>
      </c>
      <c r="BE4" s="1">
        <v>1.0</v>
      </c>
      <c r="BF4" s="1" t="s">
        <v>129</v>
      </c>
      <c r="BG4" s="1">
        <v>20.0</v>
      </c>
      <c r="BH4" s="1">
        <v>1.0</v>
      </c>
      <c r="BI4" s="1">
        <v>2.0</v>
      </c>
      <c r="BJ4" s="1" t="s">
        <v>129</v>
      </c>
      <c r="BK4" s="1">
        <v>29.0</v>
      </c>
      <c r="BL4" s="1">
        <v>1.0</v>
      </c>
      <c r="BM4" s="1">
        <v>1.0</v>
      </c>
      <c r="BN4" s="1" t="s">
        <v>130</v>
      </c>
      <c r="BO4" s="1">
        <v>31.0</v>
      </c>
      <c r="BP4" s="1">
        <v>4.0</v>
      </c>
      <c r="BQ4" s="1">
        <v>1.0</v>
      </c>
      <c r="BR4" s="1" t="s">
        <v>129</v>
      </c>
      <c r="BS4" s="1">
        <v>17.0</v>
      </c>
      <c r="BT4" s="1">
        <v>9.0</v>
      </c>
      <c r="BU4" s="1">
        <v>3.0</v>
      </c>
      <c r="BV4" s="1" t="s">
        <v>129</v>
      </c>
      <c r="BW4" s="1">
        <v>4.0</v>
      </c>
      <c r="BX4" s="1">
        <v>5.0</v>
      </c>
      <c r="BY4" s="1">
        <v>5.0</v>
      </c>
      <c r="BZ4" s="1" t="s">
        <v>129</v>
      </c>
      <c r="CA4" s="1">
        <v>11.0</v>
      </c>
      <c r="CB4" s="1">
        <v>0.0</v>
      </c>
    </row>
    <row r="5">
      <c r="A5" s="1" t="s">
        <v>32</v>
      </c>
      <c r="B5" s="1" t="s">
        <v>134</v>
      </c>
      <c r="C5" s="1" t="s">
        <v>135</v>
      </c>
      <c r="D5" s="1">
        <v>10.0</v>
      </c>
      <c r="E5" s="1">
        <v>5.0</v>
      </c>
      <c r="F5" s="1" t="s">
        <v>129</v>
      </c>
      <c r="G5" s="1">
        <v>2.0</v>
      </c>
      <c r="H5" s="1">
        <v>9.0</v>
      </c>
      <c r="I5" s="1">
        <v>5.0</v>
      </c>
      <c r="J5" s="1" t="s">
        <v>129</v>
      </c>
      <c r="K5" s="1">
        <v>3.0</v>
      </c>
      <c r="L5" s="1">
        <v>11.0</v>
      </c>
      <c r="M5" s="1">
        <v>4.0</v>
      </c>
      <c r="N5" s="1" t="s">
        <v>129</v>
      </c>
      <c r="O5" s="1">
        <v>2.0</v>
      </c>
      <c r="P5" s="1">
        <v>22.0</v>
      </c>
      <c r="Q5" s="1">
        <v>22.0</v>
      </c>
      <c r="R5" s="1" t="s">
        <v>129</v>
      </c>
      <c r="S5" s="1">
        <v>0.0</v>
      </c>
      <c r="T5" s="1">
        <v>5.0</v>
      </c>
      <c r="U5" s="1">
        <v>3.0</v>
      </c>
      <c r="V5" s="1" t="s">
        <v>129</v>
      </c>
      <c r="W5" s="1">
        <v>13.0</v>
      </c>
      <c r="X5" s="1">
        <v>12.0</v>
      </c>
      <c r="Y5" s="1">
        <v>5.0</v>
      </c>
      <c r="Z5" s="1" t="s">
        <v>129</v>
      </c>
      <c r="AA5" s="1">
        <v>2.0</v>
      </c>
      <c r="AB5" s="1">
        <v>11.0</v>
      </c>
      <c r="AC5" s="1">
        <v>5.0</v>
      </c>
      <c r="AD5" s="1" t="s">
        <v>129</v>
      </c>
      <c r="AE5" s="1">
        <v>1.0</v>
      </c>
      <c r="AF5" s="1">
        <v>21.0</v>
      </c>
      <c r="AG5" s="1">
        <v>6.0</v>
      </c>
      <c r="AH5" s="1" t="s">
        <v>129</v>
      </c>
      <c r="AI5" s="1">
        <v>0.0</v>
      </c>
      <c r="AJ5" s="1">
        <v>21.0</v>
      </c>
      <c r="AK5" s="1">
        <v>7.0</v>
      </c>
      <c r="AL5" s="1" t="s">
        <v>129</v>
      </c>
      <c r="AM5" s="1">
        <v>0.0</v>
      </c>
      <c r="AN5" s="1">
        <v>12.0</v>
      </c>
      <c r="AO5" s="1">
        <v>12.0</v>
      </c>
      <c r="AP5" s="1" t="s">
        <v>129</v>
      </c>
      <c r="AQ5" s="1">
        <v>1.0</v>
      </c>
      <c r="AR5" s="1">
        <v>3.0</v>
      </c>
      <c r="AS5" s="1">
        <v>4.0</v>
      </c>
      <c r="AT5" s="1" t="s">
        <v>129</v>
      </c>
      <c r="AU5" s="1">
        <v>17.0</v>
      </c>
      <c r="AV5" s="1">
        <v>14.0</v>
      </c>
      <c r="AW5" s="1">
        <v>6.0</v>
      </c>
      <c r="AX5" s="1" t="s">
        <v>129</v>
      </c>
      <c r="AY5" s="1">
        <v>1.0</v>
      </c>
      <c r="AZ5" s="1">
        <v>9.0</v>
      </c>
      <c r="BA5" s="1">
        <v>3.0</v>
      </c>
      <c r="BB5" s="1" t="s">
        <v>129</v>
      </c>
      <c r="BC5" s="1">
        <v>4.0</v>
      </c>
      <c r="BD5" s="1">
        <v>5.0</v>
      </c>
      <c r="BE5" s="1">
        <v>5.0</v>
      </c>
      <c r="BF5" s="1" t="s">
        <v>129</v>
      </c>
      <c r="BG5" s="1">
        <v>11.0</v>
      </c>
      <c r="BH5" s="1">
        <v>6.0</v>
      </c>
      <c r="BI5" s="1">
        <v>4.0</v>
      </c>
      <c r="BJ5" s="1" t="s">
        <v>129</v>
      </c>
      <c r="BK5" s="1">
        <v>10.0</v>
      </c>
      <c r="BL5" s="1">
        <v>9.0</v>
      </c>
      <c r="BM5" s="1">
        <v>3.0</v>
      </c>
      <c r="BN5" s="1" t="s">
        <v>129</v>
      </c>
      <c r="BO5" s="1">
        <v>3.0</v>
      </c>
      <c r="BP5" s="1">
        <v>9.0</v>
      </c>
      <c r="BQ5" s="1">
        <v>3.0</v>
      </c>
      <c r="BR5" s="1" t="s">
        <v>129</v>
      </c>
      <c r="BS5" s="1">
        <v>3.0</v>
      </c>
      <c r="BT5" s="1">
        <v>21.0</v>
      </c>
      <c r="BU5" s="1">
        <v>6.0</v>
      </c>
      <c r="BV5" s="1" t="s">
        <v>129</v>
      </c>
      <c r="BW5" s="1">
        <v>0.0</v>
      </c>
      <c r="BX5" s="1">
        <v>22.0</v>
      </c>
      <c r="BY5" s="1">
        <v>22.0</v>
      </c>
      <c r="BZ5" s="1" t="s">
        <v>129</v>
      </c>
      <c r="CA5" s="1">
        <v>0.0</v>
      </c>
      <c r="CB5" s="1">
        <v>0.0</v>
      </c>
    </row>
    <row r="6">
      <c r="A6" s="1" t="s">
        <v>42</v>
      </c>
      <c r="B6" s="1" t="s">
        <v>38</v>
      </c>
      <c r="C6" s="1" t="s">
        <v>39</v>
      </c>
      <c r="D6" s="1">
        <v>7.0</v>
      </c>
      <c r="E6" s="1">
        <v>3.0</v>
      </c>
      <c r="F6" s="1" t="s">
        <v>130</v>
      </c>
      <c r="G6" s="1">
        <v>8.0</v>
      </c>
      <c r="H6" s="1">
        <v>2.0</v>
      </c>
      <c r="I6" s="1">
        <v>2.0</v>
      </c>
      <c r="J6" s="1" t="s">
        <v>129</v>
      </c>
      <c r="K6" s="1">
        <v>22.0</v>
      </c>
      <c r="L6" s="1">
        <v>1.0</v>
      </c>
      <c r="M6" s="1">
        <v>2.0</v>
      </c>
      <c r="N6" s="1" t="s">
        <v>129</v>
      </c>
      <c r="O6" s="1">
        <v>29.0</v>
      </c>
      <c r="P6" s="1">
        <v>2.0</v>
      </c>
      <c r="Q6" s="1">
        <v>2.0</v>
      </c>
      <c r="R6" s="1" t="s">
        <v>129</v>
      </c>
      <c r="S6" s="1">
        <v>22.0</v>
      </c>
      <c r="T6" s="1">
        <v>2.0</v>
      </c>
      <c r="U6" s="1">
        <v>1.0</v>
      </c>
      <c r="V6" s="1" t="s">
        <v>130</v>
      </c>
      <c r="W6" s="1">
        <v>24.0</v>
      </c>
      <c r="X6" s="1">
        <v>8.0</v>
      </c>
      <c r="Y6" s="1">
        <v>1.0</v>
      </c>
      <c r="Z6" s="1" t="s">
        <v>129</v>
      </c>
      <c r="AA6" s="1">
        <v>6.0</v>
      </c>
      <c r="AB6" s="1">
        <v>3.0</v>
      </c>
      <c r="AC6" s="1">
        <v>1.0</v>
      </c>
      <c r="AD6" s="1" t="s">
        <v>130</v>
      </c>
      <c r="AE6" s="1">
        <v>21.0</v>
      </c>
      <c r="AF6" s="1">
        <v>1.0</v>
      </c>
      <c r="AG6" s="1">
        <v>3.0</v>
      </c>
      <c r="AH6" s="1" t="s">
        <v>130</v>
      </c>
      <c r="AI6" s="1">
        <v>29.0</v>
      </c>
      <c r="AJ6" s="1">
        <v>2.0</v>
      </c>
      <c r="AK6" s="1">
        <v>2.0</v>
      </c>
      <c r="AL6" s="1" t="s">
        <v>130</v>
      </c>
      <c r="AM6" s="1">
        <v>24.0</v>
      </c>
      <c r="AN6" s="1">
        <v>1.0</v>
      </c>
      <c r="AO6" s="1">
        <v>3.0</v>
      </c>
      <c r="AP6" s="1" t="s">
        <v>129</v>
      </c>
      <c r="AQ6" s="1">
        <v>28.0</v>
      </c>
      <c r="AR6" s="1">
        <v>2.0</v>
      </c>
      <c r="AS6" s="1">
        <v>20.0</v>
      </c>
      <c r="AT6" s="1" t="s">
        <v>130</v>
      </c>
      <c r="AU6" s="1">
        <v>19.0</v>
      </c>
      <c r="AV6" s="1">
        <v>1.0</v>
      </c>
      <c r="AW6" s="1">
        <v>4.0</v>
      </c>
      <c r="AX6" s="1" t="s">
        <v>130</v>
      </c>
      <c r="AY6" s="1">
        <v>28.0</v>
      </c>
      <c r="AZ6" s="1">
        <v>2.0</v>
      </c>
      <c r="BA6" s="1">
        <v>2.0</v>
      </c>
      <c r="BB6" s="1" t="s">
        <v>129</v>
      </c>
      <c r="BC6" s="1">
        <v>22.0</v>
      </c>
      <c r="BD6" s="1">
        <v>2.0</v>
      </c>
      <c r="BE6" s="1">
        <v>3.0</v>
      </c>
      <c r="BF6" s="1" t="s">
        <v>130</v>
      </c>
      <c r="BG6" s="1">
        <v>22.0</v>
      </c>
      <c r="BH6" s="1">
        <v>5.0</v>
      </c>
      <c r="BI6" s="1">
        <v>6.0</v>
      </c>
      <c r="BJ6" s="1" t="s">
        <v>129</v>
      </c>
      <c r="BK6" s="1">
        <v>12.0</v>
      </c>
      <c r="BL6" s="1">
        <v>4.0</v>
      </c>
      <c r="BM6" s="1">
        <v>5.0</v>
      </c>
      <c r="BN6" s="1" t="s">
        <v>129</v>
      </c>
      <c r="BO6" s="1">
        <v>13.0</v>
      </c>
      <c r="BP6" s="1">
        <v>3.0</v>
      </c>
      <c r="BQ6" s="1">
        <v>5.0</v>
      </c>
      <c r="BR6" s="1" t="s">
        <v>130</v>
      </c>
      <c r="BS6" s="1">
        <v>17.0</v>
      </c>
      <c r="BT6" s="1">
        <v>1.0</v>
      </c>
      <c r="BU6" s="1">
        <v>2.0</v>
      </c>
      <c r="BV6" s="1" t="s">
        <v>130</v>
      </c>
      <c r="BW6" s="1">
        <v>30.0</v>
      </c>
      <c r="BX6" s="1">
        <v>3.0</v>
      </c>
      <c r="BY6" s="1">
        <v>2.0</v>
      </c>
      <c r="BZ6" s="1" t="s">
        <v>129</v>
      </c>
      <c r="CA6" s="1">
        <v>19.0</v>
      </c>
      <c r="CB6" s="1">
        <v>0.0</v>
      </c>
    </row>
    <row r="7">
      <c r="A7" s="1" t="s">
        <v>42</v>
      </c>
      <c r="B7" s="1" t="s">
        <v>136</v>
      </c>
      <c r="C7" s="1" t="s">
        <v>137</v>
      </c>
      <c r="D7" s="1">
        <v>14.0</v>
      </c>
      <c r="E7" s="1">
        <v>18.0</v>
      </c>
      <c r="F7" s="1" t="s">
        <v>129</v>
      </c>
      <c r="G7" s="1">
        <v>1.0</v>
      </c>
      <c r="H7" s="1">
        <v>3.0</v>
      </c>
      <c r="I7" s="1">
        <v>3.0</v>
      </c>
      <c r="J7" s="1" t="s">
        <v>129</v>
      </c>
      <c r="K7" s="1">
        <v>18.0</v>
      </c>
      <c r="L7" s="1">
        <v>3.0</v>
      </c>
      <c r="M7" s="1">
        <v>5.0</v>
      </c>
      <c r="N7" s="1" t="s">
        <v>129</v>
      </c>
      <c r="O7" s="1">
        <v>15.0</v>
      </c>
      <c r="P7" s="1">
        <v>3.0</v>
      </c>
      <c r="Q7" s="1">
        <v>5.0</v>
      </c>
      <c r="R7" s="1" t="s">
        <v>129</v>
      </c>
      <c r="S7" s="1">
        <v>16.0</v>
      </c>
      <c r="T7" s="1">
        <v>4.0</v>
      </c>
      <c r="U7" s="1">
        <v>5.0</v>
      </c>
      <c r="V7" s="1" t="s">
        <v>129</v>
      </c>
      <c r="W7" s="1">
        <v>13.0</v>
      </c>
      <c r="X7" s="1">
        <v>1.0</v>
      </c>
      <c r="Y7" s="1">
        <v>2.0</v>
      </c>
      <c r="Z7" s="1" t="s">
        <v>129</v>
      </c>
      <c r="AA7" s="1">
        <v>29.0</v>
      </c>
      <c r="AB7" s="1">
        <v>5.0</v>
      </c>
      <c r="AC7" s="1">
        <v>3.0</v>
      </c>
      <c r="AD7" s="1" t="s">
        <v>129</v>
      </c>
      <c r="AE7" s="1">
        <v>11.0</v>
      </c>
      <c r="AF7" s="1">
        <v>8.0</v>
      </c>
      <c r="AG7" s="1">
        <v>5.0</v>
      </c>
      <c r="AH7" s="1" t="s">
        <v>129</v>
      </c>
      <c r="AI7" s="1">
        <v>5.0</v>
      </c>
      <c r="AJ7" s="1">
        <v>9.0</v>
      </c>
      <c r="AK7" s="1">
        <v>4.0</v>
      </c>
      <c r="AL7" s="1" t="s">
        <v>129</v>
      </c>
      <c r="AM7" s="1">
        <v>3.0</v>
      </c>
      <c r="AN7" s="1">
        <v>21.0</v>
      </c>
      <c r="AO7" s="1">
        <v>19.0</v>
      </c>
      <c r="AP7" s="1" t="s">
        <v>129</v>
      </c>
      <c r="AQ7" s="1">
        <v>0.0</v>
      </c>
      <c r="AR7" s="1">
        <v>1.0</v>
      </c>
      <c r="AS7" s="1">
        <v>3.0</v>
      </c>
      <c r="AT7" s="1" t="s">
        <v>129</v>
      </c>
      <c r="AU7" s="1">
        <v>28.0</v>
      </c>
      <c r="AV7" s="1">
        <v>11.0</v>
      </c>
      <c r="AW7" s="1">
        <v>3.0</v>
      </c>
      <c r="AX7" s="1" t="s">
        <v>129</v>
      </c>
      <c r="AY7" s="1">
        <v>3.0</v>
      </c>
      <c r="AZ7" s="1">
        <v>15.0</v>
      </c>
      <c r="BA7" s="1">
        <v>7.0</v>
      </c>
      <c r="BB7" s="1" t="s">
        <v>129</v>
      </c>
      <c r="BC7" s="1">
        <v>1.0</v>
      </c>
      <c r="BD7" s="1">
        <v>22.0</v>
      </c>
      <c r="BE7" s="1">
        <v>22.0</v>
      </c>
      <c r="BF7" s="1" t="s">
        <v>129</v>
      </c>
      <c r="BG7" s="1">
        <v>0.0</v>
      </c>
      <c r="BH7" s="1">
        <v>22.0</v>
      </c>
      <c r="BI7" s="1">
        <v>22.0</v>
      </c>
      <c r="BJ7" s="1" t="s">
        <v>129</v>
      </c>
      <c r="BK7" s="1">
        <v>0.0</v>
      </c>
      <c r="BL7" s="1">
        <v>5.0</v>
      </c>
      <c r="BM7" s="1">
        <v>4.0</v>
      </c>
      <c r="BN7" s="1" t="s">
        <v>129</v>
      </c>
      <c r="BO7" s="1">
        <v>12.0</v>
      </c>
      <c r="BP7" s="1">
        <v>14.0</v>
      </c>
      <c r="BQ7" s="1">
        <v>6.0</v>
      </c>
      <c r="BR7" s="1" t="s">
        <v>129</v>
      </c>
      <c r="BS7" s="1">
        <v>0.0</v>
      </c>
      <c r="BT7" s="1">
        <v>3.0</v>
      </c>
      <c r="BU7" s="1">
        <v>5.0</v>
      </c>
      <c r="BV7" s="1" t="s">
        <v>129</v>
      </c>
      <c r="BW7" s="1">
        <v>16.0</v>
      </c>
      <c r="BX7" s="1">
        <v>2.0</v>
      </c>
      <c r="BY7" s="1">
        <v>4.0</v>
      </c>
      <c r="BZ7" s="1" t="s">
        <v>129</v>
      </c>
      <c r="CA7" s="1">
        <v>20.0</v>
      </c>
      <c r="CB7" s="1">
        <v>0.0</v>
      </c>
    </row>
    <row r="8">
      <c r="A8" s="1" t="s">
        <v>27</v>
      </c>
      <c r="B8" s="1" t="s">
        <v>138</v>
      </c>
      <c r="C8" s="1" t="s">
        <v>139</v>
      </c>
      <c r="D8" s="1">
        <v>11.0</v>
      </c>
      <c r="E8" s="1">
        <v>4.0</v>
      </c>
      <c r="F8" s="1" t="s">
        <v>129</v>
      </c>
      <c r="G8" s="1">
        <v>2.0</v>
      </c>
      <c r="H8" s="1">
        <v>22.0</v>
      </c>
      <c r="I8" s="1">
        <v>22.0</v>
      </c>
      <c r="J8" s="1" t="s">
        <v>129</v>
      </c>
      <c r="K8" s="1">
        <v>0.0</v>
      </c>
      <c r="L8" s="1">
        <v>22.0</v>
      </c>
      <c r="M8" s="1">
        <v>22.0</v>
      </c>
      <c r="N8" s="1" t="s">
        <v>129</v>
      </c>
      <c r="O8" s="1">
        <v>0.0</v>
      </c>
      <c r="P8" s="1">
        <v>22.0</v>
      </c>
      <c r="Q8" s="1">
        <v>22.0</v>
      </c>
      <c r="R8" s="1" t="s">
        <v>129</v>
      </c>
      <c r="S8" s="1">
        <v>0.0</v>
      </c>
      <c r="T8" s="1">
        <v>22.0</v>
      </c>
      <c r="U8" s="1">
        <v>22.0</v>
      </c>
      <c r="V8" s="1" t="s">
        <v>129</v>
      </c>
      <c r="W8" s="1">
        <v>0.0</v>
      </c>
      <c r="X8" s="1">
        <v>22.0</v>
      </c>
      <c r="Y8" s="1">
        <v>22.0</v>
      </c>
      <c r="Z8" s="1" t="s">
        <v>129</v>
      </c>
      <c r="AA8" s="1">
        <v>0.0</v>
      </c>
      <c r="AB8" s="1">
        <v>22.0</v>
      </c>
      <c r="AC8" s="1">
        <v>22.0</v>
      </c>
      <c r="AD8" s="1" t="s">
        <v>129</v>
      </c>
      <c r="AE8" s="1">
        <v>0.0</v>
      </c>
      <c r="AF8" s="1">
        <v>22.0</v>
      </c>
      <c r="AG8" s="1">
        <v>22.0</v>
      </c>
      <c r="AH8" s="1" t="s">
        <v>129</v>
      </c>
      <c r="AI8" s="1">
        <v>0.0</v>
      </c>
      <c r="AJ8" s="1">
        <v>22.0</v>
      </c>
      <c r="AK8" s="1">
        <v>22.0</v>
      </c>
      <c r="AL8" s="1" t="s">
        <v>129</v>
      </c>
      <c r="AM8" s="1">
        <v>0.0</v>
      </c>
      <c r="AN8" s="1">
        <v>22.0</v>
      </c>
      <c r="AO8" s="1">
        <v>22.0</v>
      </c>
      <c r="AP8" s="1" t="s">
        <v>129</v>
      </c>
      <c r="AQ8" s="1">
        <v>0.0</v>
      </c>
      <c r="AR8" s="1">
        <v>22.0</v>
      </c>
      <c r="AS8" s="1">
        <v>22.0</v>
      </c>
      <c r="AT8" s="1" t="s">
        <v>129</v>
      </c>
      <c r="AU8" s="1">
        <v>0.0</v>
      </c>
      <c r="AV8" s="1">
        <v>22.0</v>
      </c>
      <c r="AW8" s="1">
        <v>22.0</v>
      </c>
      <c r="AX8" s="1" t="s">
        <v>129</v>
      </c>
      <c r="AY8" s="1">
        <v>0.0</v>
      </c>
      <c r="AZ8" s="1">
        <v>22.0</v>
      </c>
      <c r="BA8" s="1">
        <v>22.0</v>
      </c>
      <c r="BB8" s="1" t="s">
        <v>129</v>
      </c>
      <c r="BC8" s="1">
        <v>0.0</v>
      </c>
      <c r="BD8" s="1">
        <v>22.0</v>
      </c>
      <c r="BE8" s="1">
        <v>22.0</v>
      </c>
      <c r="BF8" s="1" t="s">
        <v>129</v>
      </c>
      <c r="BG8" s="1">
        <v>0.0</v>
      </c>
      <c r="BH8" s="1">
        <v>22.0</v>
      </c>
      <c r="BI8" s="1">
        <v>22.0</v>
      </c>
      <c r="BJ8" s="1" t="s">
        <v>129</v>
      </c>
      <c r="BK8" s="1">
        <v>0.0</v>
      </c>
      <c r="BL8" s="1">
        <v>22.0</v>
      </c>
      <c r="BM8" s="1">
        <v>22.0</v>
      </c>
      <c r="BN8" s="1" t="s">
        <v>129</v>
      </c>
      <c r="BO8" s="1">
        <v>0.0</v>
      </c>
      <c r="BP8" s="1">
        <v>22.0</v>
      </c>
      <c r="BQ8" s="1">
        <v>22.0</v>
      </c>
      <c r="BR8" s="1" t="s">
        <v>129</v>
      </c>
      <c r="BS8" s="1">
        <v>0.0</v>
      </c>
      <c r="BT8" s="1">
        <v>22.0</v>
      </c>
      <c r="BU8" s="1">
        <v>22.0</v>
      </c>
      <c r="BV8" s="1" t="s">
        <v>129</v>
      </c>
      <c r="BW8" s="1">
        <v>0.0</v>
      </c>
      <c r="BX8" s="1">
        <v>22.0</v>
      </c>
      <c r="BY8" s="1">
        <v>22.0</v>
      </c>
      <c r="BZ8" s="1" t="s">
        <v>129</v>
      </c>
      <c r="CA8" s="1">
        <v>0.0</v>
      </c>
      <c r="CB8" s="1">
        <v>0.0</v>
      </c>
    </row>
    <row r="9">
      <c r="A9" s="1" t="s">
        <v>27</v>
      </c>
      <c r="B9" s="1" t="s">
        <v>35</v>
      </c>
      <c r="C9" s="1" t="s">
        <v>36</v>
      </c>
      <c r="D9" s="1">
        <v>13.0</v>
      </c>
      <c r="E9" s="1">
        <v>10.0</v>
      </c>
      <c r="F9" s="1" t="s">
        <v>129</v>
      </c>
      <c r="G9" s="1">
        <v>1.0</v>
      </c>
      <c r="H9" s="1">
        <v>22.0</v>
      </c>
      <c r="I9" s="1">
        <v>22.0</v>
      </c>
      <c r="J9" s="1" t="s">
        <v>129</v>
      </c>
      <c r="K9" s="1">
        <v>0.0</v>
      </c>
      <c r="L9" s="1">
        <v>22.0</v>
      </c>
      <c r="M9" s="1">
        <v>22.0</v>
      </c>
      <c r="N9" s="1" t="s">
        <v>129</v>
      </c>
      <c r="O9" s="1">
        <v>0.0</v>
      </c>
      <c r="P9" s="1">
        <v>4.0</v>
      </c>
      <c r="Q9" s="1">
        <v>6.0</v>
      </c>
      <c r="R9" s="1" t="s">
        <v>129</v>
      </c>
      <c r="S9" s="1">
        <v>12.0</v>
      </c>
      <c r="T9" s="1">
        <v>10.0</v>
      </c>
      <c r="U9" s="1">
        <v>6.0</v>
      </c>
      <c r="V9" s="1" t="s">
        <v>129</v>
      </c>
      <c r="W9" s="1">
        <v>1.0</v>
      </c>
      <c r="X9" s="1">
        <v>14.0</v>
      </c>
      <c r="Y9" s="1">
        <v>7.0</v>
      </c>
      <c r="Z9" s="1" t="s">
        <v>129</v>
      </c>
      <c r="AA9" s="1">
        <v>1.0</v>
      </c>
      <c r="AB9" s="1">
        <v>6.0</v>
      </c>
      <c r="AC9" s="1">
        <v>7.0</v>
      </c>
      <c r="AD9" s="1" t="s">
        <v>129</v>
      </c>
      <c r="AE9" s="1">
        <v>10.0</v>
      </c>
      <c r="AF9" s="1">
        <v>5.0</v>
      </c>
      <c r="AG9" s="1">
        <v>4.0</v>
      </c>
      <c r="AH9" s="1" t="s">
        <v>129</v>
      </c>
      <c r="AI9" s="1">
        <v>12.0</v>
      </c>
      <c r="AJ9" s="1">
        <v>12.0</v>
      </c>
      <c r="AK9" s="1">
        <v>5.0</v>
      </c>
      <c r="AL9" s="1" t="s">
        <v>129</v>
      </c>
      <c r="AM9" s="1">
        <v>1.0</v>
      </c>
      <c r="AN9" s="1">
        <v>10.0</v>
      </c>
      <c r="AO9" s="1">
        <v>18.0</v>
      </c>
      <c r="AP9" s="1" t="s">
        <v>129</v>
      </c>
      <c r="AQ9" s="1">
        <v>2.0</v>
      </c>
      <c r="AR9" s="1">
        <v>6.0</v>
      </c>
      <c r="AS9" s="1">
        <v>5.0</v>
      </c>
      <c r="AT9" s="1" t="s">
        <v>129</v>
      </c>
      <c r="AU9" s="1">
        <v>11.0</v>
      </c>
      <c r="AV9" s="1">
        <v>15.0</v>
      </c>
      <c r="AW9" s="1">
        <v>5.0</v>
      </c>
      <c r="AX9" s="1" t="s">
        <v>129</v>
      </c>
      <c r="AY9" s="1">
        <v>1.0</v>
      </c>
      <c r="AZ9" s="1">
        <v>14.0</v>
      </c>
      <c r="BA9" s="1">
        <v>6.0</v>
      </c>
      <c r="BB9" s="1" t="s">
        <v>129</v>
      </c>
      <c r="BC9" s="1">
        <v>1.0</v>
      </c>
      <c r="BD9" s="1">
        <v>4.0</v>
      </c>
      <c r="BE9" s="1">
        <v>4.0</v>
      </c>
      <c r="BF9" s="1" t="s">
        <v>129</v>
      </c>
      <c r="BG9" s="1">
        <v>14.0</v>
      </c>
      <c r="BH9" s="1">
        <v>3.0</v>
      </c>
      <c r="BI9" s="1">
        <v>3.0</v>
      </c>
      <c r="BJ9" s="1" t="s">
        <v>129</v>
      </c>
      <c r="BK9" s="1">
        <v>18.0</v>
      </c>
      <c r="BL9" s="1">
        <v>2.0</v>
      </c>
      <c r="BM9" s="1">
        <v>2.0</v>
      </c>
      <c r="BN9" s="1" t="s">
        <v>129</v>
      </c>
      <c r="BO9" s="1">
        <v>19.0</v>
      </c>
      <c r="BP9" s="1">
        <v>2.0</v>
      </c>
      <c r="BQ9" s="1">
        <v>2.0</v>
      </c>
      <c r="BR9" s="1" t="s">
        <v>129</v>
      </c>
      <c r="BS9" s="1">
        <v>22.0</v>
      </c>
      <c r="BT9" s="1">
        <v>4.0</v>
      </c>
      <c r="BU9" s="1">
        <v>4.0</v>
      </c>
      <c r="BV9" s="1" t="s">
        <v>129</v>
      </c>
      <c r="BW9" s="1">
        <v>14.0</v>
      </c>
      <c r="BX9" s="1">
        <v>4.0</v>
      </c>
      <c r="BY9" s="1">
        <v>3.0</v>
      </c>
      <c r="BZ9" s="1" t="s">
        <v>129</v>
      </c>
      <c r="CA9" s="1">
        <v>15.0</v>
      </c>
      <c r="CB9" s="1">
        <v>0.0</v>
      </c>
    </row>
    <row r="10">
      <c r="A10" s="1" t="s">
        <v>37</v>
      </c>
      <c r="B10" s="1" t="s">
        <v>140</v>
      </c>
      <c r="C10" s="1" t="s">
        <v>141</v>
      </c>
      <c r="D10" s="1">
        <v>22.0</v>
      </c>
      <c r="E10" s="1">
        <v>22.0</v>
      </c>
      <c r="F10" s="1" t="s">
        <v>129</v>
      </c>
      <c r="G10" s="1">
        <v>0.0</v>
      </c>
      <c r="H10" s="1">
        <v>22.0</v>
      </c>
      <c r="I10" s="1">
        <v>22.0</v>
      </c>
      <c r="J10" s="1" t="s">
        <v>129</v>
      </c>
      <c r="K10" s="1">
        <v>0.0</v>
      </c>
      <c r="L10" s="1">
        <v>22.0</v>
      </c>
      <c r="M10" s="1">
        <v>22.0</v>
      </c>
      <c r="N10" s="1" t="s">
        <v>129</v>
      </c>
      <c r="O10" s="1">
        <v>0.0</v>
      </c>
      <c r="P10" s="1">
        <v>22.0</v>
      </c>
      <c r="Q10" s="1">
        <v>22.0</v>
      </c>
      <c r="R10" s="1" t="s">
        <v>129</v>
      </c>
      <c r="S10" s="1">
        <v>0.0</v>
      </c>
      <c r="T10" s="1">
        <v>22.0</v>
      </c>
      <c r="U10" s="1">
        <v>22.0</v>
      </c>
      <c r="V10" s="1" t="s">
        <v>129</v>
      </c>
      <c r="W10" s="1">
        <v>0.0</v>
      </c>
      <c r="X10" s="1">
        <v>22.0</v>
      </c>
      <c r="Y10" s="1">
        <v>22.0</v>
      </c>
      <c r="Z10" s="1" t="s">
        <v>129</v>
      </c>
      <c r="AA10" s="1">
        <v>0.0</v>
      </c>
      <c r="AB10" s="1">
        <v>22.0</v>
      </c>
      <c r="AC10" s="1">
        <v>22.0</v>
      </c>
      <c r="AD10" s="1" t="s">
        <v>129</v>
      </c>
      <c r="AE10" s="1">
        <v>0.0</v>
      </c>
      <c r="AF10" s="1">
        <v>22.0</v>
      </c>
      <c r="AG10" s="1">
        <v>22.0</v>
      </c>
      <c r="AH10" s="1" t="s">
        <v>129</v>
      </c>
      <c r="AI10" s="1">
        <v>0.0</v>
      </c>
      <c r="AJ10" s="1">
        <v>22.0</v>
      </c>
      <c r="AK10" s="1">
        <v>22.0</v>
      </c>
      <c r="AL10" s="1" t="s">
        <v>129</v>
      </c>
      <c r="AM10" s="1">
        <v>0.0</v>
      </c>
      <c r="AN10" s="1">
        <v>21.0</v>
      </c>
      <c r="AO10" s="1">
        <v>20.0</v>
      </c>
      <c r="AP10" s="1" t="s">
        <v>129</v>
      </c>
      <c r="AQ10" s="1">
        <v>0.0</v>
      </c>
      <c r="AR10" s="1">
        <v>11.0</v>
      </c>
      <c r="AS10" s="1">
        <v>12.0</v>
      </c>
      <c r="AT10" s="1" t="s">
        <v>129</v>
      </c>
      <c r="AU10" s="1">
        <v>1.0</v>
      </c>
      <c r="AV10" s="1">
        <v>22.0</v>
      </c>
      <c r="AW10" s="1">
        <v>22.0</v>
      </c>
      <c r="AX10" s="1" t="s">
        <v>129</v>
      </c>
      <c r="AY10" s="1">
        <v>0.0</v>
      </c>
      <c r="AZ10" s="1">
        <v>22.0</v>
      </c>
      <c r="BA10" s="1">
        <v>22.0</v>
      </c>
      <c r="BB10" s="1" t="s">
        <v>129</v>
      </c>
      <c r="BC10" s="1">
        <v>0.0</v>
      </c>
      <c r="BD10" s="1">
        <v>22.0</v>
      </c>
      <c r="BE10" s="1">
        <v>22.0</v>
      </c>
      <c r="BF10" s="1" t="s">
        <v>129</v>
      </c>
      <c r="BG10" s="1">
        <v>0.0</v>
      </c>
      <c r="BH10" s="1">
        <v>11.0</v>
      </c>
      <c r="BI10" s="1">
        <v>14.0</v>
      </c>
      <c r="BJ10" s="1" t="s">
        <v>129</v>
      </c>
      <c r="BK10" s="1">
        <v>1.0</v>
      </c>
      <c r="BL10" s="1">
        <v>8.0</v>
      </c>
      <c r="BM10" s="1">
        <v>8.0</v>
      </c>
      <c r="BN10" s="1" t="s">
        <v>129</v>
      </c>
      <c r="BO10" s="1">
        <v>4.0</v>
      </c>
      <c r="BP10" s="1">
        <v>22.0</v>
      </c>
      <c r="BQ10" s="1">
        <v>22.0</v>
      </c>
      <c r="BR10" s="1" t="s">
        <v>129</v>
      </c>
      <c r="BS10" s="1">
        <v>0.0</v>
      </c>
      <c r="BT10" s="1">
        <v>21.0</v>
      </c>
      <c r="BU10" s="1">
        <v>7.0</v>
      </c>
      <c r="BV10" s="1" t="s">
        <v>129</v>
      </c>
      <c r="BW10" s="1">
        <v>0.0</v>
      </c>
      <c r="BX10" s="1">
        <v>8.0</v>
      </c>
      <c r="BY10" s="1">
        <v>6.0</v>
      </c>
      <c r="BZ10" s="1" t="s">
        <v>129</v>
      </c>
      <c r="CA10" s="1">
        <v>4.0</v>
      </c>
      <c r="CB10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1" t="s">
        <v>142</v>
      </c>
    </row>
    <row r="3">
      <c r="A3" s="1" t="s">
        <v>143</v>
      </c>
    </row>
    <row r="4">
      <c r="A4" s="1" t="s">
        <v>144</v>
      </c>
    </row>
    <row r="5">
      <c r="A5" s="1" t="s">
        <v>145</v>
      </c>
    </row>
    <row r="6">
      <c r="A6" s="1" t="s">
        <v>146</v>
      </c>
    </row>
    <row r="7">
      <c r="A7" s="1" t="s">
        <v>147</v>
      </c>
    </row>
    <row r="8">
      <c r="A8" s="1" t="s">
        <v>148</v>
      </c>
    </row>
    <row r="9">
      <c r="A9" s="1" t="s">
        <v>149</v>
      </c>
    </row>
    <row r="10">
      <c r="A10" s="1" t="s">
        <v>150</v>
      </c>
    </row>
    <row r="11">
      <c r="A11" s="1" t="s">
        <v>151</v>
      </c>
    </row>
    <row r="12">
      <c r="A12" s="1" t="s">
        <v>152</v>
      </c>
    </row>
    <row r="13">
      <c r="A13" s="1" t="s">
        <v>153</v>
      </c>
    </row>
    <row r="14">
      <c r="A14" s="1" t="s">
        <v>154</v>
      </c>
    </row>
    <row r="15">
      <c r="A15" s="1" t="s">
        <v>155</v>
      </c>
    </row>
    <row r="16">
      <c r="A16" s="1" t="s">
        <v>156</v>
      </c>
    </row>
    <row r="17">
      <c r="A17" s="1" t="s">
        <v>157</v>
      </c>
    </row>
    <row r="18">
      <c r="A18" s="1" t="s">
        <v>158</v>
      </c>
    </row>
    <row r="19">
      <c r="A19" s="1" t="s">
        <v>159</v>
      </c>
    </row>
    <row r="20">
      <c r="A20" s="1" t="s">
        <v>160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49</v>
      </c>
      <c r="B1" s="1" t="s">
        <v>50</v>
      </c>
      <c r="C1" s="1" t="s">
        <v>51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128</v>
      </c>
    </row>
    <row r="2">
      <c r="A2" s="1" t="s">
        <v>17</v>
      </c>
      <c r="B2" s="1" t="s">
        <v>18</v>
      </c>
      <c r="C2" s="1" t="s">
        <v>19</v>
      </c>
      <c r="D2" s="1">
        <v>1.0</v>
      </c>
      <c r="E2" s="1">
        <v>2.0</v>
      </c>
      <c r="F2" s="1" t="s">
        <v>129</v>
      </c>
      <c r="G2" s="1">
        <v>30.0</v>
      </c>
      <c r="H2" s="1">
        <v>11.0</v>
      </c>
      <c r="I2" s="1">
        <v>1.0</v>
      </c>
      <c r="J2" s="1" t="s">
        <v>129</v>
      </c>
      <c r="K2" s="1">
        <v>6.0</v>
      </c>
      <c r="L2" s="1">
        <v>1.0</v>
      </c>
      <c r="M2" s="1">
        <v>2.0</v>
      </c>
      <c r="N2" s="1" t="s">
        <v>129</v>
      </c>
      <c r="O2" s="1">
        <v>31.0</v>
      </c>
      <c r="P2" s="1">
        <v>1.0</v>
      </c>
      <c r="Q2" s="1">
        <v>2.0</v>
      </c>
      <c r="R2" s="1" t="s">
        <v>129</v>
      </c>
      <c r="S2" s="1">
        <v>30.0</v>
      </c>
      <c r="T2" s="1">
        <v>1.0</v>
      </c>
      <c r="U2" s="1">
        <v>3.0</v>
      </c>
      <c r="V2" s="1" t="s">
        <v>129</v>
      </c>
      <c r="W2" s="1">
        <v>30.0</v>
      </c>
      <c r="X2" s="1">
        <v>4.0</v>
      </c>
      <c r="Y2" s="1">
        <v>1.0</v>
      </c>
      <c r="Z2" s="1" t="s">
        <v>130</v>
      </c>
      <c r="AA2" s="1">
        <v>18.0</v>
      </c>
      <c r="AB2" s="1">
        <v>1.0</v>
      </c>
      <c r="AC2" s="1">
        <v>1.0</v>
      </c>
      <c r="AD2" s="1" t="s">
        <v>130</v>
      </c>
      <c r="AE2" s="1">
        <v>31.0</v>
      </c>
      <c r="AF2" s="1">
        <v>2.0</v>
      </c>
      <c r="AG2" s="1">
        <v>2.0</v>
      </c>
      <c r="AH2" s="1" t="s">
        <v>129</v>
      </c>
      <c r="AI2" s="1">
        <v>23.0</v>
      </c>
      <c r="AJ2" s="1">
        <v>1.0</v>
      </c>
      <c r="AK2" s="1">
        <v>1.0</v>
      </c>
      <c r="AL2" s="1" t="s">
        <v>129</v>
      </c>
      <c r="AM2" s="1">
        <v>30.0</v>
      </c>
      <c r="AN2" s="1">
        <v>2.0</v>
      </c>
      <c r="AO2" s="1">
        <v>1.0</v>
      </c>
      <c r="AP2" s="1" t="s">
        <v>130</v>
      </c>
      <c r="AQ2" s="1">
        <v>19.0</v>
      </c>
      <c r="AR2" s="1">
        <v>0.0</v>
      </c>
    </row>
    <row r="3">
      <c r="A3" s="1" t="s">
        <v>17</v>
      </c>
      <c r="B3" s="1" t="s">
        <v>140</v>
      </c>
      <c r="C3" s="1" t="s">
        <v>141</v>
      </c>
      <c r="D3" s="1">
        <v>21.0</v>
      </c>
      <c r="E3" s="1">
        <v>19.0</v>
      </c>
      <c r="F3" s="1" t="s">
        <v>129</v>
      </c>
      <c r="G3" s="1">
        <v>0.0</v>
      </c>
      <c r="H3" s="1">
        <v>21.0</v>
      </c>
      <c r="I3" s="1">
        <v>17.0</v>
      </c>
      <c r="J3" s="1" t="s">
        <v>129</v>
      </c>
      <c r="K3" s="1">
        <v>0.0</v>
      </c>
      <c r="L3" s="1">
        <v>10.0</v>
      </c>
      <c r="M3" s="1">
        <v>10.0</v>
      </c>
      <c r="N3" s="1" t="s">
        <v>129</v>
      </c>
      <c r="O3" s="1">
        <v>4.0</v>
      </c>
      <c r="P3" s="1">
        <v>12.0</v>
      </c>
      <c r="Q3" s="1">
        <v>13.0</v>
      </c>
      <c r="R3" s="1" t="s">
        <v>129</v>
      </c>
      <c r="S3" s="1">
        <v>1.0</v>
      </c>
      <c r="T3" s="1">
        <v>11.0</v>
      </c>
      <c r="U3" s="1">
        <v>19.0</v>
      </c>
      <c r="V3" s="1" t="s">
        <v>129</v>
      </c>
      <c r="W3" s="1">
        <v>1.0</v>
      </c>
      <c r="X3" s="1">
        <v>12.0</v>
      </c>
      <c r="Y3" s="1">
        <v>10.0</v>
      </c>
      <c r="Z3" s="1" t="s">
        <v>129</v>
      </c>
      <c r="AA3" s="1">
        <v>3.0</v>
      </c>
      <c r="AB3" s="1">
        <v>22.0</v>
      </c>
      <c r="AC3" s="1">
        <v>22.0</v>
      </c>
      <c r="AD3" s="1" t="s">
        <v>129</v>
      </c>
      <c r="AE3" s="1">
        <v>0.0</v>
      </c>
      <c r="AF3" s="1">
        <v>11.0</v>
      </c>
      <c r="AG3" s="1">
        <v>20.0</v>
      </c>
      <c r="AH3" s="1" t="s">
        <v>129</v>
      </c>
      <c r="AI3" s="1">
        <v>1.0</v>
      </c>
      <c r="AJ3" s="1">
        <v>21.0</v>
      </c>
      <c r="AK3" s="1">
        <v>17.0</v>
      </c>
      <c r="AL3" s="1" t="s">
        <v>129</v>
      </c>
      <c r="AM3" s="1">
        <v>0.0</v>
      </c>
      <c r="AN3" s="1">
        <v>22.0</v>
      </c>
      <c r="AO3" s="1">
        <v>22.0</v>
      </c>
      <c r="AP3" s="1" t="s">
        <v>129</v>
      </c>
      <c r="AQ3" s="1">
        <v>0.0</v>
      </c>
      <c r="AR3" s="1">
        <v>0.0</v>
      </c>
    </row>
    <row r="4">
      <c r="A4" s="1" t="s">
        <v>42</v>
      </c>
      <c r="B4" s="1" t="s">
        <v>33</v>
      </c>
      <c r="C4" s="1" t="s">
        <v>34</v>
      </c>
      <c r="D4" s="1">
        <v>3.0</v>
      </c>
      <c r="E4" s="1">
        <v>1.0</v>
      </c>
      <c r="F4" s="1" t="s">
        <v>130</v>
      </c>
      <c r="G4" s="1">
        <v>21.0</v>
      </c>
      <c r="H4" s="1">
        <v>7.0</v>
      </c>
      <c r="I4" s="1">
        <v>3.0</v>
      </c>
      <c r="J4" s="1" t="s">
        <v>130</v>
      </c>
      <c r="K4" s="1">
        <v>10.0</v>
      </c>
      <c r="L4" s="1">
        <v>8.0</v>
      </c>
      <c r="M4" s="1">
        <v>3.0</v>
      </c>
      <c r="N4" s="1" t="s">
        <v>129</v>
      </c>
      <c r="O4" s="1">
        <v>6.0</v>
      </c>
      <c r="P4" s="1">
        <v>3.0</v>
      </c>
      <c r="Q4" s="1">
        <v>3.0</v>
      </c>
      <c r="R4" s="1" t="s">
        <v>129</v>
      </c>
      <c r="S4" s="1">
        <v>20.0</v>
      </c>
      <c r="T4" s="1">
        <v>5.0</v>
      </c>
      <c r="U4" s="1">
        <v>1.0</v>
      </c>
      <c r="V4" s="1" t="s">
        <v>129</v>
      </c>
      <c r="W4" s="1">
        <v>13.0</v>
      </c>
      <c r="X4" s="1">
        <v>1.0</v>
      </c>
      <c r="Y4" s="1">
        <v>6.0</v>
      </c>
      <c r="Z4" s="1" t="s">
        <v>129</v>
      </c>
      <c r="AA4" s="1">
        <v>30.0</v>
      </c>
      <c r="AB4" s="1">
        <v>2.0</v>
      </c>
      <c r="AC4" s="1">
        <v>3.0</v>
      </c>
      <c r="AD4" s="1" t="s">
        <v>129</v>
      </c>
      <c r="AE4" s="1">
        <v>23.0</v>
      </c>
      <c r="AF4" s="1">
        <v>3.0</v>
      </c>
      <c r="AG4" s="1">
        <v>7.0</v>
      </c>
      <c r="AH4" s="1" t="s">
        <v>129</v>
      </c>
      <c r="AI4" s="1">
        <v>20.0</v>
      </c>
      <c r="AJ4" s="1">
        <v>2.0</v>
      </c>
      <c r="AK4" s="1">
        <v>7.0</v>
      </c>
      <c r="AL4" s="1" t="s">
        <v>129</v>
      </c>
      <c r="AM4" s="1">
        <v>23.0</v>
      </c>
      <c r="AN4" s="1">
        <v>1.0</v>
      </c>
      <c r="AO4" s="1">
        <v>5.0</v>
      </c>
      <c r="AP4" s="1" t="s">
        <v>129</v>
      </c>
      <c r="AQ4" s="1">
        <v>25.0</v>
      </c>
      <c r="AR4" s="1">
        <v>0.0</v>
      </c>
    </row>
    <row r="5">
      <c r="A5" s="1" t="s">
        <v>42</v>
      </c>
      <c r="B5" s="1" t="s">
        <v>35</v>
      </c>
      <c r="C5" s="1" t="s">
        <v>36</v>
      </c>
      <c r="D5" s="1">
        <v>6.0</v>
      </c>
      <c r="E5" s="1">
        <v>5.0</v>
      </c>
      <c r="F5" s="1" t="s">
        <v>129</v>
      </c>
      <c r="G5" s="1">
        <v>9.0</v>
      </c>
      <c r="H5" s="1">
        <v>21.0</v>
      </c>
      <c r="I5" s="1">
        <v>19.0</v>
      </c>
      <c r="J5" s="1" t="s">
        <v>129</v>
      </c>
      <c r="K5" s="1">
        <v>0.0</v>
      </c>
      <c r="L5" s="1">
        <v>13.0</v>
      </c>
      <c r="M5" s="1">
        <v>9.0</v>
      </c>
      <c r="N5" s="1" t="s">
        <v>129</v>
      </c>
      <c r="O5" s="1">
        <v>1.0</v>
      </c>
      <c r="P5" s="1">
        <v>13.0</v>
      </c>
      <c r="Q5" s="1">
        <v>7.0</v>
      </c>
      <c r="R5" s="1" t="s">
        <v>129</v>
      </c>
      <c r="S5" s="1">
        <v>0.0</v>
      </c>
      <c r="T5" s="1">
        <v>23.0</v>
      </c>
      <c r="U5" s="1">
        <v>20.0</v>
      </c>
      <c r="V5" s="1" t="s">
        <v>129</v>
      </c>
      <c r="W5" s="1">
        <v>0.0</v>
      </c>
      <c r="X5" s="1">
        <v>14.0</v>
      </c>
      <c r="Y5" s="1">
        <v>9.0</v>
      </c>
      <c r="Z5" s="1" t="s">
        <v>129</v>
      </c>
      <c r="AA5" s="1">
        <v>2.0</v>
      </c>
      <c r="AB5" s="1">
        <v>8.0</v>
      </c>
      <c r="AC5" s="1">
        <v>4.0</v>
      </c>
      <c r="AD5" s="1" t="s">
        <v>129</v>
      </c>
      <c r="AE5" s="1">
        <v>6.0</v>
      </c>
      <c r="AF5" s="1">
        <v>9.0</v>
      </c>
      <c r="AG5" s="1">
        <v>6.0</v>
      </c>
      <c r="AH5" s="1" t="s">
        <v>129</v>
      </c>
      <c r="AI5" s="1">
        <v>6.0</v>
      </c>
      <c r="AJ5" s="1">
        <v>9.0</v>
      </c>
      <c r="AK5" s="1">
        <v>10.0</v>
      </c>
      <c r="AL5" s="1" t="s">
        <v>129</v>
      </c>
      <c r="AM5" s="1">
        <v>4.0</v>
      </c>
      <c r="AN5" s="1">
        <v>22.0</v>
      </c>
      <c r="AO5" s="1">
        <v>22.0</v>
      </c>
      <c r="AP5" s="1" t="s">
        <v>129</v>
      </c>
      <c r="AQ5" s="1">
        <v>0.0</v>
      </c>
      <c r="AR5" s="1">
        <v>0.0</v>
      </c>
    </row>
    <row r="6">
      <c r="A6" s="1" t="s">
        <v>37</v>
      </c>
      <c r="B6" s="1" t="s">
        <v>38</v>
      </c>
      <c r="C6" s="1" t="s">
        <v>39</v>
      </c>
      <c r="D6" s="1">
        <v>4.0</v>
      </c>
      <c r="E6" s="1">
        <v>4.0</v>
      </c>
      <c r="F6" s="1" t="s">
        <v>129</v>
      </c>
      <c r="G6" s="1">
        <v>17.0</v>
      </c>
      <c r="H6" s="1">
        <v>5.0</v>
      </c>
      <c r="I6" s="1">
        <v>4.0</v>
      </c>
      <c r="J6" s="1" t="s">
        <v>129</v>
      </c>
      <c r="K6" s="1">
        <v>12.0</v>
      </c>
      <c r="L6" s="1">
        <v>3.0</v>
      </c>
      <c r="M6" s="1">
        <v>4.0</v>
      </c>
      <c r="N6" s="1" t="s">
        <v>130</v>
      </c>
      <c r="O6" s="1">
        <v>22.0</v>
      </c>
      <c r="P6" s="1">
        <v>4.0</v>
      </c>
      <c r="Q6" s="1">
        <v>4.0</v>
      </c>
      <c r="R6" s="1" t="s">
        <v>129</v>
      </c>
      <c r="S6" s="1">
        <v>17.0</v>
      </c>
      <c r="T6" s="1">
        <v>2.0</v>
      </c>
      <c r="U6" s="1">
        <v>5.0</v>
      </c>
      <c r="V6" s="1" t="s">
        <v>129</v>
      </c>
      <c r="W6" s="1">
        <v>23.0</v>
      </c>
      <c r="X6" s="1">
        <v>3.0</v>
      </c>
      <c r="Y6" s="1">
        <v>4.0</v>
      </c>
      <c r="Z6" s="1" t="s">
        <v>129</v>
      </c>
      <c r="AA6" s="1">
        <v>20.0</v>
      </c>
      <c r="AB6" s="1">
        <v>11.0</v>
      </c>
      <c r="AC6" s="1">
        <v>8.0</v>
      </c>
      <c r="AD6" s="1" t="s">
        <v>129</v>
      </c>
      <c r="AE6" s="1">
        <v>5.0</v>
      </c>
      <c r="AF6" s="1">
        <v>1.0</v>
      </c>
      <c r="AG6" s="1">
        <v>5.0</v>
      </c>
      <c r="AH6" s="1" t="s">
        <v>129</v>
      </c>
      <c r="AI6" s="1">
        <v>30.0</v>
      </c>
      <c r="AJ6" s="1">
        <v>3.0</v>
      </c>
      <c r="AK6" s="1">
        <v>3.0</v>
      </c>
      <c r="AL6" s="1" t="s">
        <v>130</v>
      </c>
      <c r="AM6" s="1">
        <v>21.0</v>
      </c>
      <c r="AN6" s="1">
        <v>21.0</v>
      </c>
      <c r="AO6" s="1">
        <v>20.0</v>
      </c>
      <c r="AP6" s="1" t="s">
        <v>129</v>
      </c>
      <c r="AQ6" s="1">
        <v>0.0</v>
      </c>
      <c r="AR6" s="1">
        <v>0.0</v>
      </c>
    </row>
    <row r="7">
      <c r="A7" s="1" t="s">
        <v>37</v>
      </c>
      <c r="B7" s="1" t="s">
        <v>134</v>
      </c>
      <c r="C7" s="1" t="s">
        <v>135</v>
      </c>
      <c r="D7" s="1">
        <v>10.0</v>
      </c>
      <c r="E7" s="1">
        <v>8.0</v>
      </c>
      <c r="F7" s="1" t="s">
        <v>129</v>
      </c>
      <c r="G7" s="1">
        <v>3.0</v>
      </c>
      <c r="H7" s="1">
        <v>14.0</v>
      </c>
      <c r="I7" s="1">
        <v>18.0</v>
      </c>
      <c r="J7" s="1" t="s">
        <v>129</v>
      </c>
      <c r="K7" s="1">
        <v>1.0</v>
      </c>
      <c r="L7" s="1">
        <v>6.0</v>
      </c>
      <c r="M7" s="1">
        <v>8.0</v>
      </c>
      <c r="N7" s="1" t="s">
        <v>129</v>
      </c>
      <c r="O7" s="1">
        <v>11.0</v>
      </c>
      <c r="P7" s="1">
        <v>7.0</v>
      </c>
      <c r="Q7" s="1">
        <v>6.0</v>
      </c>
      <c r="R7" s="1" t="s">
        <v>129</v>
      </c>
      <c r="S7" s="1">
        <v>9.0</v>
      </c>
      <c r="T7" s="1">
        <v>6.0</v>
      </c>
      <c r="U7" s="1">
        <v>12.0</v>
      </c>
      <c r="V7" s="1" t="s">
        <v>129</v>
      </c>
      <c r="W7" s="1">
        <v>13.0</v>
      </c>
      <c r="X7" s="1">
        <v>13.0</v>
      </c>
      <c r="Y7" s="1">
        <v>8.0</v>
      </c>
      <c r="Z7" s="1" t="s">
        <v>129</v>
      </c>
      <c r="AA7" s="1">
        <v>3.0</v>
      </c>
      <c r="AB7" s="1">
        <v>10.0</v>
      </c>
      <c r="AC7" s="1">
        <v>11.0</v>
      </c>
      <c r="AD7" s="1" t="s">
        <v>129</v>
      </c>
      <c r="AE7" s="1">
        <v>5.0</v>
      </c>
      <c r="AF7" s="1">
        <v>7.0</v>
      </c>
      <c r="AG7" s="1">
        <v>4.0</v>
      </c>
      <c r="AH7" s="1" t="s">
        <v>129</v>
      </c>
      <c r="AI7" s="1">
        <v>9.0</v>
      </c>
      <c r="AJ7" s="1">
        <v>6.0</v>
      </c>
      <c r="AK7" s="1">
        <v>5.0</v>
      </c>
      <c r="AL7" s="1" t="s">
        <v>129</v>
      </c>
      <c r="AM7" s="1">
        <v>13.0</v>
      </c>
      <c r="AN7" s="1">
        <v>22.0</v>
      </c>
      <c r="AO7" s="1">
        <v>22.0</v>
      </c>
      <c r="AP7" s="1" t="s">
        <v>129</v>
      </c>
      <c r="AQ7" s="1">
        <v>0.0</v>
      </c>
      <c r="AR7" s="1">
        <v>0.0</v>
      </c>
    </row>
    <row r="8">
      <c r="A8" s="1" t="s">
        <v>12</v>
      </c>
      <c r="B8" s="1" t="s">
        <v>13</v>
      </c>
      <c r="C8" s="1" t="s">
        <v>14</v>
      </c>
      <c r="D8" s="1">
        <v>2.0</v>
      </c>
      <c r="E8" s="1">
        <v>3.0</v>
      </c>
      <c r="F8" s="1" t="s">
        <v>129</v>
      </c>
      <c r="G8" s="1">
        <v>23.0</v>
      </c>
      <c r="H8" s="1">
        <v>10.0</v>
      </c>
      <c r="I8" s="1">
        <v>2.0</v>
      </c>
      <c r="J8" s="1" t="s">
        <v>129</v>
      </c>
      <c r="K8" s="1">
        <v>6.0</v>
      </c>
      <c r="L8" s="1">
        <v>2.0</v>
      </c>
      <c r="M8" s="1">
        <v>1.0</v>
      </c>
      <c r="N8" s="1" t="s">
        <v>129</v>
      </c>
      <c r="O8" s="1">
        <v>24.0</v>
      </c>
      <c r="P8" s="1">
        <v>2.0</v>
      </c>
      <c r="Q8" s="1">
        <v>1.0</v>
      </c>
      <c r="R8" s="1" t="s">
        <v>130</v>
      </c>
      <c r="S8" s="1">
        <v>24.0</v>
      </c>
      <c r="T8" s="1">
        <v>3.0</v>
      </c>
      <c r="U8" s="1">
        <v>2.0</v>
      </c>
      <c r="V8" s="1" t="s">
        <v>129</v>
      </c>
      <c r="W8" s="1">
        <v>20.0</v>
      </c>
      <c r="X8" s="1">
        <v>2.0</v>
      </c>
      <c r="Y8" s="1">
        <v>2.0</v>
      </c>
      <c r="Z8" s="1" t="s">
        <v>129</v>
      </c>
      <c r="AA8" s="1">
        <v>23.0</v>
      </c>
      <c r="AB8" s="1">
        <v>4.0</v>
      </c>
      <c r="AC8" s="1">
        <v>2.0</v>
      </c>
      <c r="AD8" s="1" t="s">
        <v>129</v>
      </c>
      <c r="AE8" s="1">
        <v>17.0</v>
      </c>
      <c r="AF8" s="1">
        <v>4.0</v>
      </c>
      <c r="AG8" s="1">
        <v>1.0</v>
      </c>
      <c r="AH8" s="1" t="s">
        <v>130</v>
      </c>
      <c r="AI8" s="1">
        <v>18.0</v>
      </c>
      <c r="AJ8" s="1">
        <v>22.0</v>
      </c>
      <c r="AK8" s="1">
        <v>22.0</v>
      </c>
      <c r="AL8" s="1" t="s">
        <v>129</v>
      </c>
      <c r="AM8" s="1">
        <v>0.0</v>
      </c>
      <c r="AN8" s="1">
        <v>3.0</v>
      </c>
      <c r="AO8" s="1">
        <v>2.0</v>
      </c>
      <c r="AP8" s="1" t="s">
        <v>129</v>
      </c>
      <c r="AQ8" s="1">
        <v>15.0</v>
      </c>
      <c r="AR8" s="1">
        <v>0.0</v>
      </c>
    </row>
    <row r="9">
      <c r="A9" s="1" t="s">
        <v>12</v>
      </c>
      <c r="B9" s="1" t="s">
        <v>15</v>
      </c>
      <c r="C9" s="1" t="s">
        <v>16</v>
      </c>
      <c r="D9" s="1">
        <v>12.0</v>
      </c>
      <c r="E9" s="1">
        <v>18.0</v>
      </c>
      <c r="F9" s="1" t="s">
        <v>129</v>
      </c>
      <c r="G9" s="1">
        <v>1.0</v>
      </c>
      <c r="H9" s="1">
        <v>21.0</v>
      </c>
      <c r="I9" s="1">
        <v>14.0</v>
      </c>
      <c r="J9" s="1" t="s">
        <v>129</v>
      </c>
      <c r="K9" s="1">
        <v>0.0</v>
      </c>
      <c r="L9" s="1">
        <v>22.0</v>
      </c>
      <c r="M9" s="1">
        <v>22.0</v>
      </c>
      <c r="N9" s="1" t="s">
        <v>129</v>
      </c>
      <c r="O9" s="1">
        <v>0.0</v>
      </c>
      <c r="P9" s="1">
        <v>6.0</v>
      </c>
      <c r="Q9" s="1">
        <v>5.0</v>
      </c>
      <c r="R9" s="1" t="s">
        <v>129</v>
      </c>
      <c r="S9" s="1">
        <v>13.0</v>
      </c>
      <c r="T9" s="1">
        <v>9.0</v>
      </c>
      <c r="U9" s="1">
        <v>18.0</v>
      </c>
      <c r="V9" s="1" t="s">
        <v>129</v>
      </c>
      <c r="W9" s="1">
        <v>6.0</v>
      </c>
      <c r="X9" s="1">
        <v>11.0</v>
      </c>
      <c r="Y9" s="1">
        <v>7.0</v>
      </c>
      <c r="Z9" s="1" t="s">
        <v>129</v>
      </c>
      <c r="AA9" s="1">
        <v>4.0</v>
      </c>
      <c r="AB9" s="1">
        <v>12.0</v>
      </c>
      <c r="AC9" s="1">
        <v>5.0</v>
      </c>
      <c r="AD9" s="1" t="s">
        <v>129</v>
      </c>
      <c r="AE9" s="1">
        <v>4.0</v>
      </c>
      <c r="AF9" s="1">
        <v>6.0</v>
      </c>
      <c r="AG9" s="1">
        <v>9.0</v>
      </c>
      <c r="AH9" s="1" t="s">
        <v>129</v>
      </c>
      <c r="AI9" s="1">
        <v>13.0</v>
      </c>
      <c r="AJ9" s="1">
        <v>5.0</v>
      </c>
      <c r="AK9" s="1">
        <v>6.0</v>
      </c>
      <c r="AL9" s="1" t="s">
        <v>129</v>
      </c>
      <c r="AM9" s="1">
        <v>15.0</v>
      </c>
      <c r="AN9" s="1">
        <v>21.0</v>
      </c>
      <c r="AO9" s="1">
        <v>6.0</v>
      </c>
      <c r="AP9" s="1" t="s">
        <v>129</v>
      </c>
      <c r="AQ9" s="1">
        <v>0.0</v>
      </c>
      <c r="AR9" s="1">
        <v>0.0</v>
      </c>
    </row>
    <row r="10">
      <c r="A10" s="1" t="s">
        <v>27</v>
      </c>
      <c r="B10" s="1" t="s">
        <v>132</v>
      </c>
      <c r="C10" s="1" t="s">
        <v>133</v>
      </c>
      <c r="D10" s="1">
        <v>9.0</v>
      </c>
      <c r="E10" s="1">
        <v>6.0</v>
      </c>
      <c r="F10" s="1" t="s">
        <v>129</v>
      </c>
      <c r="G10" s="1">
        <v>6.0</v>
      </c>
      <c r="H10" s="1">
        <v>9.0</v>
      </c>
      <c r="I10" s="1">
        <v>5.0</v>
      </c>
      <c r="J10" s="1" t="s">
        <v>129</v>
      </c>
      <c r="K10" s="1">
        <v>7.0</v>
      </c>
      <c r="L10" s="1">
        <v>5.0</v>
      </c>
      <c r="M10" s="1">
        <v>5.0</v>
      </c>
      <c r="N10" s="1" t="s">
        <v>129</v>
      </c>
      <c r="O10" s="1">
        <v>16.0</v>
      </c>
      <c r="P10" s="1">
        <v>5.0</v>
      </c>
      <c r="Q10" s="1">
        <v>8.0</v>
      </c>
      <c r="R10" s="1" t="s">
        <v>129</v>
      </c>
      <c r="S10" s="1">
        <v>13.0</v>
      </c>
      <c r="T10" s="1">
        <v>8.0</v>
      </c>
      <c r="U10" s="1">
        <v>7.0</v>
      </c>
      <c r="V10" s="1" t="s">
        <v>129</v>
      </c>
      <c r="W10" s="1">
        <v>7.0</v>
      </c>
      <c r="X10" s="1">
        <v>9.0</v>
      </c>
      <c r="Y10" s="1">
        <v>3.0</v>
      </c>
      <c r="Z10" s="1" t="s">
        <v>129</v>
      </c>
      <c r="AA10" s="1">
        <v>5.0</v>
      </c>
      <c r="AB10" s="1">
        <v>3.0</v>
      </c>
      <c r="AC10" s="1">
        <v>6.0</v>
      </c>
      <c r="AD10" s="1" t="s">
        <v>129</v>
      </c>
      <c r="AE10" s="1">
        <v>20.0</v>
      </c>
      <c r="AF10" s="1">
        <v>5.0</v>
      </c>
      <c r="AG10" s="1">
        <v>3.0</v>
      </c>
      <c r="AH10" s="1" t="s">
        <v>129</v>
      </c>
      <c r="AI10" s="1">
        <v>15.0</v>
      </c>
      <c r="AJ10" s="1">
        <v>4.0</v>
      </c>
      <c r="AK10" s="1">
        <v>2.0</v>
      </c>
      <c r="AL10" s="1" t="s">
        <v>129</v>
      </c>
      <c r="AM10" s="1">
        <v>16.0</v>
      </c>
      <c r="AN10" s="1">
        <v>21.0</v>
      </c>
      <c r="AO10" s="1">
        <v>3.0</v>
      </c>
      <c r="AP10" s="1" t="s">
        <v>129</v>
      </c>
      <c r="AQ10" s="1">
        <v>0.0</v>
      </c>
      <c r="AR10" s="1">
        <v>0.0</v>
      </c>
    </row>
    <row r="11">
      <c r="A11" s="1" t="s">
        <v>27</v>
      </c>
      <c r="B11" s="1" t="s">
        <v>136</v>
      </c>
      <c r="C11" s="1" t="s">
        <v>137</v>
      </c>
      <c r="D11" s="1">
        <v>14.0</v>
      </c>
      <c r="E11" s="1">
        <v>10.0</v>
      </c>
      <c r="F11" s="1" t="s">
        <v>129</v>
      </c>
      <c r="G11" s="1">
        <v>1.0</v>
      </c>
      <c r="H11" s="1">
        <v>21.0</v>
      </c>
      <c r="I11" s="1">
        <v>16.0</v>
      </c>
      <c r="J11" s="1" t="s">
        <v>129</v>
      </c>
      <c r="K11" s="1">
        <v>0.0</v>
      </c>
      <c r="L11" s="1">
        <v>4.0</v>
      </c>
      <c r="M11" s="1">
        <v>6.0</v>
      </c>
      <c r="N11" s="1" t="s">
        <v>129</v>
      </c>
      <c r="O11" s="1">
        <v>17.0</v>
      </c>
      <c r="P11" s="1">
        <v>22.0</v>
      </c>
      <c r="Q11" s="1">
        <v>22.0</v>
      </c>
      <c r="R11" s="1" t="s">
        <v>129</v>
      </c>
      <c r="S11" s="1">
        <v>0.0</v>
      </c>
      <c r="T11" s="1">
        <v>4.0</v>
      </c>
      <c r="U11" s="1">
        <v>6.0</v>
      </c>
      <c r="V11" s="1" t="s">
        <v>129</v>
      </c>
      <c r="W11" s="1">
        <v>15.0</v>
      </c>
      <c r="X11" s="1">
        <v>22.0</v>
      </c>
      <c r="Y11" s="1">
        <v>22.0</v>
      </c>
      <c r="Z11" s="1" t="s">
        <v>129</v>
      </c>
      <c r="AA11" s="1">
        <v>0.0</v>
      </c>
      <c r="AB11" s="1">
        <v>22.0</v>
      </c>
      <c r="AC11" s="1">
        <v>22.0</v>
      </c>
      <c r="AD11" s="1" t="s">
        <v>129</v>
      </c>
      <c r="AE11" s="1">
        <v>0.0</v>
      </c>
      <c r="AF11" s="1">
        <v>22.0</v>
      </c>
      <c r="AG11" s="1">
        <v>22.0</v>
      </c>
      <c r="AH11" s="1" t="s">
        <v>129</v>
      </c>
      <c r="AI11" s="1">
        <v>0.0</v>
      </c>
      <c r="AJ11" s="1">
        <v>22.0</v>
      </c>
      <c r="AK11" s="1">
        <v>22.0</v>
      </c>
      <c r="AL11" s="1" t="s">
        <v>129</v>
      </c>
      <c r="AM11" s="1">
        <v>0.0</v>
      </c>
      <c r="AN11" s="1">
        <v>22.0</v>
      </c>
      <c r="AO11" s="1">
        <v>22.0</v>
      </c>
      <c r="AP11" s="1" t="s">
        <v>129</v>
      </c>
      <c r="AQ11" s="1">
        <v>0.0</v>
      </c>
      <c r="AR11" s="1">
        <v>0.0</v>
      </c>
    </row>
    <row r="12">
      <c r="A12" s="1" t="s">
        <v>169</v>
      </c>
      <c r="B12" s="1" t="s">
        <v>138</v>
      </c>
      <c r="C12" s="1" t="s">
        <v>139</v>
      </c>
      <c r="D12" s="1">
        <v>15.0</v>
      </c>
      <c r="E12" s="1">
        <v>17.0</v>
      </c>
      <c r="F12" s="1" t="s">
        <v>129</v>
      </c>
      <c r="G12" s="1">
        <v>0.0</v>
      </c>
      <c r="H12" s="1">
        <v>21.0</v>
      </c>
      <c r="I12" s="1">
        <v>20.0</v>
      </c>
      <c r="J12" s="1" t="s">
        <v>129</v>
      </c>
      <c r="K12" s="1">
        <v>0.0</v>
      </c>
      <c r="L12" s="1">
        <v>22.0</v>
      </c>
      <c r="M12" s="1">
        <v>22.0</v>
      </c>
      <c r="N12" s="1" t="s">
        <v>129</v>
      </c>
      <c r="O12" s="1">
        <v>0.0</v>
      </c>
      <c r="P12" s="1">
        <v>22.0</v>
      </c>
      <c r="Q12" s="1">
        <v>22.0</v>
      </c>
      <c r="R12" s="1" t="s">
        <v>129</v>
      </c>
      <c r="S12" s="1">
        <v>0.0</v>
      </c>
      <c r="T12" s="1">
        <v>22.0</v>
      </c>
      <c r="U12" s="1">
        <v>22.0</v>
      </c>
      <c r="V12" s="1" t="s">
        <v>129</v>
      </c>
      <c r="W12" s="1">
        <v>0.0</v>
      </c>
      <c r="X12" s="1">
        <v>22.0</v>
      </c>
      <c r="Y12" s="1">
        <v>22.0</v>
      </c>
      <c r="Z12" s="1" t="s">
        <v>129</v>
      </c>
      <c r="AA12" s="1">
        <v>0.0</v>
      </c>
      <c r="AB12" s="1">
        <v>22.0</v>
      </c>
      <c r="AC12" s="1">
        <v>22.0</v>
      </c>
      <c r="AD12" s="1" t="s">
        <v>129</v>
      </c>
      <c r="AE12" s="1">
        <v>0.0</v>
      </c>
      <c r="AF12" s="1">
        <v>22.0</v>
      </c>
      <c r="AG12" s="1">
        <v>22.0</v>
      </c>
      <c r="AH12" s="1" t="s">
        <v>129</v>
      </c>
      <c r="AI12" s="1">
        <v>0.0</v>
      </c>
      <c r="AJ12" s="1">
        <v>22.0</v>
      </c>
      <c r="AK12" s="1">
        <v>22.0</v>
      </c>
      <c r="AL12" s="1" t="s">
        <v>129</v>
      </c>
      <c r="AM12" s="1">
        <v>0.0</v>
      </c>
      <c r="AN12" s="1">
        <v>22.0</v>
      </c>
      <c r="AO12" s="1">
        <v>22.0</v>
      </c>
      <c r="AP12" s="1" t="s">
        <v>129</v>
      </c>
      <c r="AQ12" s="1">
        <v>0.0</v>
      </c>
      <c r="AR12" s="1">
        <v>0.0</v>
      </c>
    </row>
    <row r="13">
      <c r="A13" s="1" t="s">
        <v>169</v>
      </c>
      <c r="B13" s="1" t="s">
        <v>170</v>
      </c>
      <c r="C13" s="1" t="s">
        <v>171</v>
      </c>
      <c r="D13" s="1">
        <v>22.0</v>
      </c>
      <c r="E13" s="1">
        <v>22.0</v>
      </c>
      <c r="F13" s="1" t="s">
        <v>129</v>
      </c>
      <c r="G13" s="1">
        <v>0.0</v>
      </c>
      <c r="H13" s="1">
        <v>12.0</v>
      </c>
      <c r="I13" s="1">
        <v>8.0</v>
      </c>
      <c r="J13" s="1" t="s">
        <v>129</v>
      </c>
      <c r="K13" s="1">
        <v>4.0</v>
      </c>
      <c r="L13" s="1">
        <v>7.0</v>
      </c>
      <c r="M13" s="1">
        <v>7.0</v>
      </c>
      <c r="N13" s="1" t="s">
        <v>129</v>
      </c>
      <c r="O13" s="1">
        <v>8.0</v>
      </c>
      <c r="P13" s="1">
        <v>8.0</v>
      </c>
      <c r="Q13" s="1">
        <v>9.0</v>
      </c>
      <c r="R13" s="1" t="s">
        <v>129</v>
      </c>
      <c r="S13" s="1">
        <v>8.0</v>
      </c>
      <c r="T13" s="1">
        <v>7.0</v>
      </c>
      <c r="U13" s="1">
        <v>4.0</v>
      </c>
      <c r="V13" s="1" t="s">
        <v>129</v>
      </c>
      <c r="W13" s="1">
        <v>11.0</v>
      </c>
      <c r="X13" s="1">
        <v>8.0</v>
      </c>
      <c r="Y13" s="1">
        <v>5.0</v>
      </c>
      <c r="Z13" s="1" t="s">
        <v>129</v>
      </c>
      <c r="AA13" s="1">
        <v>6.0</v>
      </c>
      <c r="AB13" s="1">
        <v>9.0</v>
      </c>
      <c r="AC13" s="1">
        <v>7.0</v>
      </c>
      <c r="AD13" s="1" t="s">
        <v>129</v>
      </c>
      <c r="AE13" s="1">
        <v>5.0</v>
      </c>
      <c r="AF13" s="1">
        <v>8.0</v>
      </c>
      <c r="AG13" s="1">
        <v>8.0</v>
      </c>
      <c r="AH13" s="1" t="s">
        <v>129</v>
      </c>
      <c r="AI13" s="1">
        <v>6.0</v>
      </c>
      <c r="AJ13" s="1">
        <v>8.0</v>
      </c>
      <c r="AK13" s="1">
        <v>4.0</v>
      </c>
      <c r="AL13" s="1" t="s">
        <v>129</v>
      </c>
      <c r="AM13" s="1">
        <v>6.0</v>
      </c>
      <c r="AN13" s="1">
        <v>4.0</v>
      </c>
      <c r="AO13" s="1">
        <v>4.0</v>
      </c>
      <c r="AP13" s="1" t="s">
        <v>129</v>
      </c>
      <c r="AQ13" s="1">
        <v>12.0</v>
      </c>
      <c r="AR13" s="1">
        <v>0.0</v>
      </c>
    </row>
    <row r="14">
      <c r="A14" s="1" t="s">
        <v>172</v>
      </c>
      <c r="B14" s="1" t="s">
        <v>20</v>
      </c>
      <c r="C14" s="1" t="s">
        <v>131</v>
      </c>
      <c r="D14" s="1">
        <v>22.0</v>
      </c>
      <c r="E14" s="1">
        <v>22.0</v>
      </c>
      <c r="F14" s="1" t="s">
        <v>129</v>
      </c>
      <c r="G14" s="1">
        <v>0.0</v>
      </c>
      <c r="H14" s="1">
        <v>22.0</v>
      </c>
      <c r="I14" s="1">
        <v>22.0</v>
      </c>
      <c r="J14" s="1" t="s">
        <v>129</v>
      </c>
      <c r="K14" s="1">
        <v>0.0</v>
      </c>
      <c r="L14" s="1">
        <v>22.0</v>
      </c>
      <c r="M14" s="1">
        <v>22.0</v>
      </c>
      <c r="N14" s="1" t="s">
        <v>129</v>
      </c>
      <c r="O14" s="1">
        <v>0.0</v>
      </c>
      <c r="P14" s="1">
        <v>11.0</v>
      </c>
      <c r="Q14" s="1">
        <v>20.0</v>
      </c>
      <c r="R14" s="1" t="s">
        <v>129</v>
      </c>
      <c r="S14" s="1">
        <v>1.0</v>
      </c>
      <c r="T14" s="1">
        <v>22.0</v>
      </c>
      <c r="U14" s="1">
        <v>22.0</v>
      </c>
      <c r="V14" s="1" t="s">
        <v>129</v>
      </c>
      <c r="W14" s="1">
        <v>0.0</v>
      </c>
      <c r="X14" s="1">
        <v>22.0</v>
      </c>
      <c r="Y14" s="1">
        <v>22.0</v>
      </c>
      <c r="Z14" s="1" t="s">
        <v>129</v>
      </c>
      <c r="AA14" s="1">
        <v>0.0</v>
      </c>
      <c r="AB14" s="1">
        <v>22.0</v>
      </c>
      <c r="AC14" s="1">
        <v>22.0</v>
      </c>
      <c r="AD14" s="1" t="s">
        <v>129</v>
      </c>
      <c r="AE14" s="1">
        <v>0.0</v>
      </c>
      <c r="AF14" s="1">
        <v>22.0</v>
      </c>
      <c r="AG14" s="1">
        <v>22.0</v>
      </c>
      <c r="AH14" s="1" t="s">
        <v>129</v>
      </c>
      <c r="AI14" s="1">
        <v>0.0</v>
      </c>
      <c r="AJ14" s="1">
        <v>22.0</v>
      </c>
      <c r="AK14" s="1">
        <v>22.0</v>
      </c>
      <c r="AL14" s="1" t="s">
        <v>129</v>
      </c>
      <c r="AM14" s="1">
        <v>0.0</v>
      </c>
      <c r="AN14" s="1">
        <v>22.0</v>
      </c>
      <c r="AO14" s="1">
        <v>22.0</v>
      </c>
      <c r="AP14" s="1" t="s">
        <v>129</v>
      </c>
      <c r="AQ14" s="1">
        <v>0.0</v>
      </c>
      <c r="AR14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1" t="s">
        <v>154</v>
      </c>
    </row>
    <row r="3">
      <c r="A3" s="1" t="s">
        <v>173</v>
      </c>
    </row>
    <row r="4">
      <c r="A4" s="1" t="s">
        <v>160</v>
      </c>
    </row>
    <row r="5">
      <c r="A5" s="1" t="s">
        <v>152</v>
      </c>
    </row>
    <row r="6">
      <c r="A6" s="1" t="s">
        <v>151</v>
      </c>
    </row>
    <row r="7">
      <c r="A7" s="1" t="s">
        <v>149</v>
      </c>
    </row>
    <row r="8">
      <c r="A8" s="1" t="s">
        <v>174</v>
      </c>
    </row>
    <row r="9">
      <c r="A9" s="1" t="s">
        <v>156</v>
      </c>
    </row>
    <row r="10">
      <c r="A10" s="1" t="s">
        <v>150</v>
      </c>
    </row>
    <row r="11">
      <c r="A11" s="1" t="s">
        <v>148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49</v>
      </c>
      <c r="B1" s="1" t="s">
        <v>50</v>
      </c>
      <c r="C1" s="1" t="s">
        <v>51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183</v>
      </c>
      <c r="AW1" s="1" t="s">
        <v>184</v>
      </c>
      <c r="AX1" s="1" t="s">
        <v>185</v>
      </c>
      <c r="AY1" s="1" t="s">
        <v>186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187</v>
      </c>
      <c r="BE1" s="1" t="s">
        <v>188</v>
      </c>
      <c r="BF1" s="1" t="s">
        <v>189</v>
      </c>
      <c r="BG1" s="1" t="s">
        <v>190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128</v>
      </c>
    </row>
    <row r="2">
      <c r="A2" s="1" t="s">
        <v>17</v>
      </c>
      <c r="B2" s="1" t="s">
        <v>18</v>
      </c>
      <c r="C2" s="1" t="s">
        <v>19</v>
      </c>
      <c r="D2" s="1">
        <v>2.0</v>
      </c>
      <c r="E2" s="1">
        <v>2.0</v>
      </c>
      <c r="F2" s="1" t="s">
        <v>129</v>
      </c>
      <c r="G2" s="1">
        <v>18.0</v>
      </c>
      <c r="H2" s="1">
        <v>2.0</v>
      </c>
      <c r="I2" s="1">
        <v>1.0</v>
      </c>
      <c r="J2" s="1" t="s">
        <v>129</v>
      </c>
      <c r="K2" s="1">
        <v>18.0</v>
      </c>
      <c r="L2" s="1">
        <v>1.0</v>
      </c>
      <c r="M2" s="1">
        <v>2.0</v>
      </c>
      <c r="N2" s="1" t="s">
        <v>129</v>
      </c>
      <c r="O2" s="1">
        <v>25.0</v>
      </c>
      <c r="P2" s="1">
        <v>1.0</v>
      </c>
      <c r="Q2" s="1">
        <v>4.0</v>
      </c>
      <c r="R2" s="1" t="s">
        <v>129</v>
      </c>
      <c r="S2" s="1">
        <v>25.0</v>
      </c>
      <c r="T2" s="1">
        <v>2.0</v>
      </c>
      <c r="U2" s="1">
        <v>1.0</v>
      </c>
      <c r="V2" s="1" t="s">
        <v>129</v>
      </c>
      <c r="W2" s="1">
        <v>18.0</v>
      </c>
      <c r="X2" s="1">
        <v>1.0</v>
      </c>
      <c r="Y2" s="1">
        <v>2.0</v>
      </c>
      <c r="Z2" s="1" t="s">
        <v>129</v>
      </c>
      <c r="AA2" s="1">
        <v>8.0</v>
      </c>
      <c r="AB2" s="1">
        <v>3.0</v>
      </c>
      <c r="AC2" s="1">
        <v>20.0</v>
      </c>
      <c r="AD2" s="1" t="s">
        <v>129</v>
      </c>
      <c r="AE2" s="1">
        <v>15.0</v>
      </c>
      <c r="AF2" s="1">
        <v>1.0</v>
      </c>
      <c r="AG2" s="1">
        <v>1.0</v>
      </c>
      <c r="AH2" s="1" t="s">
        <v>130</v>
      </c>
      <c r="AI2" s="1">
        <v>26.0</v>
      </c>
      <c r="AJ2" s="1">
        <v>2.0</v>
      </c>
      <c r="AK2" s="1">
        <v>3.0</v>
      </c>
      <c r="AL2" s="1" t="s">
        <v>129</v>
      </c>
      <c r="AM2" s="1">
        <v>18.0</v>
      </c>
      <c r="AN2" s="1">
        <v>1.0</v>
      </c>
      <c r="AO2" s="1">
        <v>2.0</v>
      </c>
      <c r="AP2" s="1" t="s">
        <v>129</v>
      </c>
      <c r="AQ2" s="1">
        <v>25.0</v>
      </c>
      <c r="AR2" s="1">
        <v>1.0</v>
      </c>
      <c r="AS2" s="1">
        <v>1.0</v>
      </c>
      <c r="AT2" s="1" t="s">
        <v>129</v>
      </c>
      <c r="AU2" s="1">
        <v>25.0</v>
      </c>
      <c r="AV2" s="1">
        <v>2.0</v>
      </c>
      <c r="AW2" s="1">
        <v>2.0</v>
      </c>
      <c r="AX2" s="1" t="s">
        <v>129</v>
      </c>
      <c r="AY2" s="1">
        <v>7.0</v>
      </c>
      <c r="AZ2" s="1">
        <v>2.0</v>
      </c>
      <c r="BA2" s="1">
        <v>19.0</v>
      </c>
      <c r="BB2" s="1" t="s">
        <v>129</v>
      </c>
      <c r="BC2" s="1">
        <v>18.0</v>
      </c>
      <c r="BD2" s="1">
        <v>1.0</v>
      </c>
      <c r="BE2" s="1">
        <v>2.0</v>
      </c>
      <c r="BF2" s="1" t="s">
        <v>129</v>
      </c>
      <c r="BG2" s="1">
        <v>8.0</v>
      </c>
      <c r="BH2" s="1">
        <v>6.0</v>
      </c>
      <c r="BI2" s="1">
        <v>20.0</v>
      </c>
      <c r="BJ2" s="1" t="s">
        <v>129</v>
      </c>
      <c r="BK2" s="1">
        <v>8.0</v>
      </c>
      <c r="BL2" s="1">
        <v>0.0</v>
      </c>
    </row>
    <row r="3">
      <c r="A3" s="1" t="s">
        <v>17</v>
      </c>
      <c r="B3" s="1" t="s">
        <v>20</v>
      </c>
      <c r="C3" s="1" t="s">
        <v>21</v>
      </c>
      <c r="D3" s="1">
        <v>16.0</v>
      </c>
      <c r="E3" s="1">
        <v>10.0</v>
      </c>
      <c r="F3" s="1" t="s">
        <v>129</v>
      </c>
      <c r="G3" s="1">
        <v>1.0</v>
      </c>
      <c r="H3" s="1">
        <v>9.0</v>
      </c>
      <c r="I3" s="1">
        <v>10.0</v>
      </c>
      <c r="J3" s="1" t="s">
        <v>129</v>
      </c>
      <c r="K3" s="1">
        <v>3.0</v>
      </c>
      <c r="L3" s="1">
        <v>12.0</v>
      </c>
      <c r="M3" s="1">
        <v>7.0</v>
      </c>
      <c r="N3" s="1" t="s">
        <v>129</v>
      </c>
      <c r="O3" s="1">
        <v>1.0</v>
      </c>
      <c r="P3" s="1">
        <v>22.0</v>
      </c>
      <c r="Q3" s="1">
        <v>22.0</v>
      </c>
      <c r="R3" s="1" t="s">
        <v>129</v>
      </c>
      <c r="S3" s="1">
        <v>0.0</v>
      </c>
      <c r="T3" s="1">
        <v>18.0</v>
      </c>
      <c r="U3" s="1">
        <v>8.0</v>
      </c>
      <c r="V3" s="1" t="s">
        <v>129</v>
      </c>
      <c r="W3" s="1">
        <v>1.0</v>
      </c>
      <c r="X3" s="1">
        <v>22.0</v>
      </c>
      <c r="Y3" s="1">
        <v>22.0</v>
      </c>
      <c r="Z3" s="1" t="s">
        <v>129</v>
      </c>
      <c r="AA3" s="1">
        <v>0.0</v>
      </c>
      <c r="AB3" s="1">
        <v>22.0</v>
      </c>
      <c r="AC3" s="1">
        <v>22.0</v>
      </c>
      <c r="AD3" s="1" t="s">
        <v>129</v>
      </c>
      <c r="AE3" s="1">
        <v>0.0</v>
      </c>
      <c r="AF3" s="1">
        <v>15.0</v>
      </c>
      <c r="AG3" s="1">
        <v>6.0</v>
      </c>
      <c r="AH3" s="1" t="s">
        <v>129</v>
      </c>
      <c r="AI3" s="1">
        <v>1.0</v>
      </c>
      <c r="AJ3" s="1">
        <v>6.0</v>
      </c>
      <c r="AK3" s="1">
        <v>8.0</v>
      </c>
      <c r="AL3" s="1" t="s">
        <v>129</v>
      </c>
      <c r="AM3" s="1">
        <v>8.0</v>
      </c>
      <c r="AN3" s="1">
        <v>22.0</v>
      </c>
      <c r="AO3" s="1">
        <v>22.0</v>
      </c>
      <c r="AP3" s="1" t="s">
        <v>129</v>
      </c>
      <c r="AQ3" s="1">
        <v>0.0</v>
      </c>
      <c r="AR3" s="1">
        <v>6.0</v>
      </c>
      <c r="AS3" s="1">
        <v>7.0</v>
      </c>
      <c r="AT3" s="1" t="s">
        <v>129</v>
      </c>
      <c r="AU3" s="1">
        <v>8.0</v>
      </c>
      <c r="AV3" s="1">
        <v>14.0</v>
      </c>
      <c r="AW3" s="1">
        <v>16.0</v>
      </c>
      <c r="AX3" s="1" t="s">
        <v>129</v>
      </c>
      <c r="AY3" s="1">
        <v>0.5</v>
      </c>
      <c r="AZ3" s="1">
        <v>6.0</v>
      </c>
      <c r="BA3" s="1">
        <v>13.0</v>
      </c>
      <c r="BB3" s="1" t="s">
        <v>129</v>
      </c>
      <c r="BC3" s="1">
        <v>8.0</v>
      </c>
      <c r="BD3" s="1">
        <v>7.0</v>
      </c>
      <c r="BE3" s="1">
        <v>7.0</v>
      </c>
      <c r="BF3" s="1" t="s">
        <v>129</v>
      </c>
      <c r="BG3" s="1">
        <v>2.0</v>
      </c>
      <c r="BH3" s="1">
        <v>7.0</v>
      </c>
      <c r="BI3" s="1">
        <v>14.0</v>
      </c>
      <c r="BJ3" s="1" t="s">
        <v>129</v>
      </c>
      <c r="BK3" s="1">
        <v>6.0</v>
      </c>
      <c r="BL3" s="1">
        <v>0.0</v>
      </c>
    </row>
    <row r="4">
      <c r="A4" s="1" t="s">
        <v>22</v>
      </c>
      <c r="B4" s="1" t="s">
        <v>23</v>
      </c>
      <c r="C4" s="1" t="s">
        <v>24</v>
      </c>
      <c r="D4" s="1">
        <v>11.0</v>
      </c>
      <c r="E4" s="1">
        <v>4.0</v>
      </c>
      <c r="F4" s="1" t="s">
        <v>129</v>
      </c>
      <c r="G4" s="1">
        <v>1.0</v>
      </c>
      <c r="H4" s="1">
        <v>4.0</v>
      </c>
      <c r="I4" s="1">
        <v>8.0</v>
      </c>
      <c r="J4" s="1" t="s">
        <v>129</v>
      </c>
      <c r="K4" s="1">
        <v>12.0</v>
      </c>
      <c r="L4" s="1">
        <v>4.0</v>
      </c>
      <c r="M4" s="1">
        <v>4.0</v>
      </c>
      <c r="N4" s="1" t="s">
        <v>129</v>
      </c>
      <c r="O4" s="1">
        <v>12.0</v>
      </c>
      <c r="P4" s="1">
        <v>5.0</v>
      </c>
      <c r="Q4" s="1">
        <v>5.0</v>
      </c>
      <c r="R4" s="1" t="s">
        <v>129</v>
      </c>
      <c r="S4" s="1">
        <v>10.0</v>
      </c>
      <c r="T4" s="1">
        <v>6.0</v>
      </c>
      <c r="U4" s="1">
        <v>6.0</v>
      </c>
      <c r="V4" s="1" t="s">
        <v>130</v>
      </c>
      <c r="W4" s="1">
        <v>9.0</v>
      </c>
      <c r="X4" s="1">
        <v>18.0</v>
      </c>
      <c r="Y4" s="1">
        <v>1.0</v>
      </c>
      <c r="Z4" s="1" t="s">
        <v>129</v>
      </c>
      <c r="AA4" s="1">
        <v>0.5</v>
      </c>
      <c r="AB4" s="1">
        <v>1.0</v>
      </c>
      <c r="AC4" s="1">
        <v>3.0</v>
      </c>
      <c r="AD4" s="1" t="s">
        <v>129</v>
      </c>
      <c r="AE4" s="1">
        <v>25.0</v>
      </c>
      <c r="AF4" s="1">
        <v>2.0</v>
      </c>
      <c r="AG4" s="1">
        <v>2.0</v>
      </c>
      <c r="AH4" s="1" t="s">
        <v>129</v>
      </c>
      <c r="AI4" s="1">
        <v>18.0</v>
      </c>
      <c r="AJ4" s="1">
        <v>5.0</v>
      </c>
      <c r="AK4" s="1">
        <v>5.0</v>
      </c>
      <c r="AL4" s="1" t="s">
        <v>129</v>
      </c>
      <c r="AM4" s="1">
        <v>10.0</v>
      </c>
      <c r="AN4" s="1">
        <v>22.0</v>
      </c>
      <c r="AO4" s="1">
        <v>22.0</v>
      </c>
      <c r="AP4" s="1" t="s">
        <v>129</v>
      </c>
      <c r="AQ4" s="1">
        <v>0.0</v>
      </c>
      <c r="AR4" s="1">
        <v>20.0</v>
      </c>
      <c r="AS4" s="1">
        <v>2.0</v>
      </c>
      <c r="AT4" s="1" t="s">
        <v>130</v>
      </c>
      <c r="AU4" s="1">
        <v>2.0</v>
      </c>
      <c r="AV4" s="1">
        <v>6.0</v>
      </c>
      <c r="AW4" s="1">
        <v>5.0</v>
      </c>
      <c r="AX4" s="1" t="s">
        <v>129</v>
      </c>
      <c r="AY4" s="1">
        <v>3.0</v>
      </c>
      <c r="AZ4" s="1">
        <v>21.0</v>
      </c>
      <c r="BA4" s="1">
        <v>15.0</v>
      </c>
      <c r="BB4" s="1" t="s">
        <v>129</v>
      </c>
      <c r="BC4" s="1">
        <v>0.0</v>
      </c>
      <c r="BD4" s="1">
        <v>6.0</v>
      </c>
      <c r="BE4" s="1">
        <v>5.0</v>
      </c>
      <c r="BF4" s="1" t="s">
        <v>129</v>
      </c>
      <c r="BG4" s="1">
        <v>3.0</v>
      </c>
      <c r="BH4" s="1">
        <v>4.0</v>
      </c>
      <c r="BI4" s="1">
        <v>15.0</v>
      </c>
      <c r="BJ4" s="1" t="s">
        <v>129</v>
      </c>
      <c r="BK4" s="1">
        <v>12.0</v>
      </c>
      <c r="BL4" s="1">
        <v>0.0</v>
      </c>
    </row>
    <row r="5">
      <c r="A5" s="1" t="s">
        <v>22</v>
      </c>
      <c r="B5" s="1" t="s">
        <v>28</v>
      </c>
      <c r="C5" s="1" t="s">
        <v>29</v>
      </c>
      <c r="D5" s="1">
        <v>5.0</v>
      </c>
      <c r="E5" s="1">
        <v>16.0</v>
      </c>
      <c r="F5" s="1" t="s">
        <v>129</v>
      </c>
      <c r="G5" s="1">
        <v>10.0</v>
      </c>
      <c r="H5" s="1">
        <v>8.0</v>
      </c>
      <c r="I5" s="1">
        <v>6.0</v>
      </c>
      <c r="J5" s="1" t="s">
        <v>129</v>
      </c>
      <c r="K5" s="1">
        <v>4.0</v>
      </c>
      <c r="L5" s="1">
        <v>5.0</v>
      </c>
      <c r="M5" s="1">
        <v>8.0</v>
      </c>
      <c r="N5" s="1" t="s">
        <v>129</v>
      </c>
      <c r="O5" s="1">
        <v>10.0</v>
      </c>
      <c r="P5" s="1">
        <v>4.0</v>
      </c>
      <c r="Q5" s="1">
        <v>9.0</v>
      </c>
      <c r="R5" s="1" t="s">
        <v>129</v>
      </c>
      <c r="S5" s="1">
        <v>12.0</v>
      </c>
      <c r="T5" s="1">
        <v>4.0</v>
      </c>
      <c r="U5" s="1">
        <v>7.0</v>
      </c>
      <c r="V5" s="1" t="s">
        <v>129</v>
      </c>
      <c r="W5" s="1">
        <v>12.0</v>
      </c>
      <c r="X5" s="1">
        <v>3.0</v>
      </c>
      <c r="Y5" s="1">
        <v>3.0</v>
      </c>
      <c r="Z5" s="1" t="s">
        <v>129</v>
      </c>
      <c r="AA5" s="1">
        <v>6.0</v>
      </c>
      <c r="AB5" s="1">
        <v>7.0</v>
      </c>
      <c r="AC5" s="1">
        <v>18.0</v>
      </c>
      <c r="AD5" s="1" t="s">
        <v>129</v>
      </c>
      <c r="AE5" s="1">
        <v>6.0</v>
      </c>
      <c r="AF5" s="1">
        <v>11.0</v>
      </c>
      <c r="AG5" s="1">
        <v>3.0</v>
      </c>
      <c r="AH5" s="1" t="s">
        <v>129</v>
      </c>
      <c r="AI5" s="1">
        <v>1.0</v>
      </c>
      <c r="AJ5" s="1">
        <v>8.0</v>
      </c>
      <c r="AK5" s="1">
        <v>7.0</v>
      </c>
      <c r="AL5" s="1" t="s">
        <v>129</v>
      </c>
      <c r="AM5" s="1">
        <v>4.0</v>
      </c>
      <c r="AN5" s="1">
        <v>3.0</v>
      </c>
      <c r="AO5" s="1">
        <v>3.0</v>
      </c>
      <c r="AP5" s="1" t="s">
        <v>129</v>
      </c>
      <c r="AQ5" s="1">
        <v>15.0</v>
      </c>
      <c r="AR5" s="1">
        <v>3.0</v>
      </c>
      <c r="AS5" s="1">
        <v>3.0</v>
      </c>
      <c r="AT5" s="1" t="s">
        <v>129</v>
      </c>
      <c r="AU5" s="1">
        <v>15.0</v>
      </c>
      <c r="AV5" s="1">
        <v>7.0</v>
      </c>
      <c r="AW5" s="1">
        <v>6.0</v>
      </c>
      <c r="AX5" s="1" t="s">
        <v>129</v>
      </c>
      <c r="AY5" s="1">
        <v>2.0</v>
      </c>
      <c r="AZ5" s="1">
        <v>4.0</v>
      </c>
      <c r="BA5" s="1">
        <v>14.0</v>
      </c>
      <c r="BB5" s="1" t="s">
        <v>129</v>
      </c>
      <c r="BC5" s="1">
        <v>12.0</v>
      </c>
      <c r="BD5" s="1">
        <v>8.0</v>
      </c>
      <c r="BE5" s="1">
        <v>8.0</v>
      </c>
      <c r="BF5" s="1" t="s">
        <v>129</v>
      </c>
      <c r="BG5" s="1">
        <v>1.0</v>
      </c>
      <c r="BH5" s="1">
        <v>20.0</v>
      </c>
      <c r="BI5" s="1">
        <v>13.0</v>
      </c>
      <c r="BJ5" s="1" t="s">
        <v>129</v>
      </c>
      <c r="BK5" s="1">
        <v>1.0</v>
      </c>
      <c r="BL5" s="1">
        <v>0.0</v>
      </c>
    </row>
    <row r="6">
      <c r="A6" s="1" t="s">
        <v>37</v>
      </c>
      <c r="B6" s="1" t="s">
        <v>38</v>
      </c>
      <c r="C6" s="1" t="s">
        <v>39</v>
      </c>
      <c r="D6" s="1">
        <v>7.0</v>
      </c>
      <c r="E6" s="1">
        <v>7.0</v>
      </c>
      <c r="F6" s="1" t="s">
        <v>129</v>
      </c>
      <c r="G6" s="1">
        <v>6.0</v>
      </c>
      <c r="H6" s="1">
        <v>3.0</v>
      </c>
      <c r="I6" s="1">
        <v>4.0</v>
      </c>
      <c r="J6" s="1" t="s">
        <v>129</v>
      </c>
      <c r="K6" s="1">
        <v>15.0</v>
      </c>
      <c r="L6" s="1">
        <v>3.0</v>
      </c>
      <c r="M6" s="1">
        <v>5.0</v>
      </c>
      <c r="N6" s="1" t="s">
        <v>129</v>
      </c>
      <c r="O6" s="1">
        <v>15.0</v>
      </c>
      <c r="P6" s="1">
        <v>6.0</v>
      </c>
      <c r="Q6" s="1">
        <v>8.0</v>
      </c>
      <c r="R6" s="1" t="s">
        <v>129</v>
      </c>
      <c r="S6" s="1">
        <v>8.0</v>
      </c>
      <c r="T6" s="1">
        <v>3.0</v>
      </c>
      <c r="U6" s="1">
        <v>2.0</v>
      </c>
      <c r="V6" s="1" t="s">
        <v>129</v>
      </c>
      <c r="W6" s="1">
        <v>15.0</v>
      </c>
      <c r="X6" s="1">
        <v>2.0</v>
      </c>
      <c r="Y6" s="1">
        <v>4.0</v>
      </c>
      <c r="Z6" s="1" t="s">
        <v>129</v>
      </c>
      <c r="AA6" s="1">
        <v>7.0</v>
      </c>
      <c r="AB6" s="1">
        <v>2.0</v>
      </c>
      <c r="AC6" s="1">
        <v>19.0</v>
      </c>
      <c r="AD6" s="1" t="s">
        <v>129</v>
      </c>
      <c r="AE6" s="1">
        <v>18.0</v>
      </c>
      <c r="AF6" s="1">
        <v>22.0</v>
      </c>
      <c r="AG6" s="1">
        <v>22.0</v>
      </c>
      <c r="AH6" s="1" t="s">
        <v>129</v>
      </c>
      <c r="AI6" s="1">
        <v>0.0</v>
      </c>
      <c r="AJ6" s="1">
        <v>4.0</v>
      </c>
      <c r="AK6" s="1">
        <v>6.0</v>
      </c>
      <c r="AL6" s="1" t="s">
        <v>129</v>
      </c>
      <c r="AM6" s="1">
        <v>12.0</v>
      </c>
      <c r="AN6" s="1">
        <v>5.0</v>
      </c>
      <c r="AO6" s="1">
        <v>5.0</v>
      </c>
      <c r="AP6" s="1" t="s">
        <v>129</v>
      </c>
      <c r="AQ6" s="1">
        <v>10.0</v>
      </c>
      <c r="AR6" s="1">
        <v>7.0</v>
      </c>
      <c r="AS6" s="1">
        <v>6.0</v>
      </c>
      <c r="AT6" s="1" t="s">
        <v>129</v>
      </c>
      <c r="AU6" s="1">
        <v>6.0</v>
      </c>
      <c r="AV6" s="1">
        <v>3.0</v>
      </c>
      <c r="AW6" s="1">
        <v>4.0</v>
      </c>
      <c r="AX6" s="1" t="s">
        <v>129</v>
      </c>
      <c r="AY6" s="1">
        <v>6.0</v>
      </c>
      <c r="AZ6" s="1">
        <v>16.0</v>
      </c>
      <c r="BA6" s="1">
        <v>18.0</v>
      </c>
      <c r="BB6" s="1" t="s">
        <v>129</v>
      </c>
      <c r="BC6" s="1">
        <v>1.0</v>
      </c>
      <c r="BD6" s="1">
        <v>5.0</v>
      </c>
      <c r="BE6" s="1">
        <v>6.0</v>
      </c>
      <c r="BF6" s="1" t="s">
        <v>129</v>
      </c>
      <c r="BG6" s="1">
        <v>4.0</v>
      </c>
      <c r="BH6" s="1">
        <v>2.0</v>
      </c>
      <c r="BI6" s="1">
        <v>16.0</v>
      </c>
      <c r="BJ6" s="1" t="s">
        <v>129</v>
      </c>
      <c r="BK6" s="1">
        <v>18.0</v>
      </c>
      <c r="BL6" s="1">
        <v>0.0</v>
      </c>
    </row>
    <row r="7">
      <c r="A7" s="1" t="s">
        <v>37</v>
      </c>
      <c r="B7" s="1" t="s">
        <v>132</v>
      </c>
      <c r="C7" s="1" t="s">
        <v>133</v>
      </c>
      <c r="D7" s="1">
        <v>4.0</v>
      </c>
      <c r="E7" s="1">
        <v>3.0</v>
      </c>
      <c r="F7" s="1" t="s">
        <v>129</v>
      </c>
      <c r="G7" s="1">
        <v>12.0</v>
      </c>
      <c r="H7" s="1">
        <v>5.0</v>
      </c>
      <c r="I7" s="1">
        <v>3.0</v>
      </c>
      <c r="J7" s="1" t="s">
        <v>129</v>
      </c>
      <c r="K7" s="1">
        <v>10.0</v>
      </c>
      <c r="L7" s="1">
        <v>15.0</v>
      </c>
      <c r="M7" s="1">
        <v>6.0</v>
      </c>
      <c r="N7" s="1" t="s">
        <v>129</v>
      </c>
      <c r="O7" s="1">
        <v>1.0</v>
      </c>
      <c r="P7" s="1">
        <v>22.0</v>
      </c>
      <c r="Q7" s="1">
        <v>22.0</v>
      </c>
      <c r="R7" s="1" t="s">
        <v>129</v>
      </c>
      <c r="S7" s="1">
        <v>0.0</v>
      </c>
      <c r="T7" s="1">
        <v>22.0</v>
      </c>
      <c r="U7" s="1">
        <v>22.0</v>
      </c>
      <c r="V7" s="1" t="s">
        <v>129</v>
      </c>
      <c r="W7" s="1">
        <v>0.0</v>
      </c>
      <c r="X7" s="1">
        <v>22.0</v>
      </c>
      <c r="Y7" s="1">
        <v>22.0</v>
      </c>
      <c r="Z7" s="1" t="s">
        <v>129</v>
      </c>
      <c r="AA7" s="1">
        <v>0.0</v>
      </c>
      <c r="AB7" s="1">
        <v>22.0</v>
      </c>
      <c r="AC7" s="1">
        <v>22.0</v>
      </c>
      <c r="AD7" s="1" t="s">
        <v>129</v>
      </c>
      <c r="AE7" s="1">
        <v>0.0</v>
      </c>
      <c r="AF7" s="1">
        <v>22.0</v>
      </c>
      <c r="AG7" s="1">
        <v>22.0</v>
      </c>
      <c r="AH7" s="1" t="s">
        <v>129</v>
      </c>
      <c r="AI7" s="1">
        <v>0.0</v>
      </c>
      <c r="AJ7" s="1">
        <v>22.0</v>
      </c>
      <c r="AK7" s="1">
        <v>22.0</v>
      </c>
      <c r="AL7" s="1" t="s">
        <v>129</v>
      </c>
      <c r="AM7" s="1">
        <v>0.0</v>
      </c>
      <c r="AN7" s="1">
        <v>22.0</v>
      </c>
      <c r="AO7" s="1">
        <v>22.0</v>
      </c>
      <c r="AP7" s="1" t="s">
        <v>129</v>
      </c>
      <c r="AQ7" s="1">
        <v>0.0</v>
      </c>
      <c r="AU7" s="1">
        <v>0.0</v>
      </c>
      <c r="AY7" s="1">
        <v>0.0</v>
      </c>
      <c r="BC7" s="1">
        <v>0.0</v>
      </c>
      <c r="BG7" s="1">
        <v>0.0</v>
      </c>
      <c r="BK7" s="1">
        <v>0.0</v>
      </c>
      <c r="BL7" s="1">
        <v>0.0</v>
      </c>
    </row>
    <row r="8">
      <c r="A8" s="1" t="s">
        <v>37</v>
      </c>
      <c r="B8" s="1" t="s">
        <v>33</v>
      </c>
      <c r="C8" s="1" t="s">
        <v>34</v>
      </c>
      <c r="G8" s="1">
        <v>0.0</v>
      </c>
      <c r="K8" s="1">
        <v>0.0</v>
      </c>
      <c r="O8" s="1">
        <v>0.0</v>
      </c>
      <c r="S8" s="1">
        <v>0.0</v>
      </c>
      <c r="W8" s="1">
        <v>0.0</v>
      </c>
      <c r="AA8" s="1">
        <v>0.0</v>
      </c>
      <c r="AE8" s="1">
        <v>0.0</v>
      </c>
      <c r="AI8" s="1">
        <v>0.0</v>
      </c>
      <c r="AM8" s="1">
        <v>0.0</v>
      </c>
      <c r="AQ8" s="1">
        <v>0.0</v>
      </c>
      <c r="AR8" s="1">
        <v>5.0</v>
      </c>
      <c r="AS8" s="1">
        <v>4.0</v>
      </c>
      <c r="AT8" s="1" t="s">
        <v>129</v>
      </c>
      <c r="AU8" s="1">
        <v>10.0</v>
      </c>
      <c r="AV8" s="1">
        <v>1.0</v>
      </c>
      <c r="AW8" s="1">
        <v>3.0</v>
      </c>
      <c r="AX8" s="1" t="s">
        <v>129</v>
      </c>
      <c r="AY8" s="1">
        <v>8.0</v>
      </c>
      <c r="AZ8" s="1">
        <v>3.0</v>
      </c>
      <c r="BA8" s="1">
        <v>20.0</v>
      </c>
      <c r="BB8" s="1" t="s">
        <v>129</v>
      </c>
      <c r="BC8" s="1">
        <v>15.0</v>
      </c>
      <c r="BD8" s="1">
        <v>4.0</v>
      </c>
      <c r="BE8" s="1">
        <v>4.0</v>
      </c>
      <c r="BF8" s="1" t="s">
        <v>129</v>
      </c>
      <c r="BG8" s="1">
        <v>5.0</v>
      </c>
      <c r="BH8" s="1">
        <v>3.0</v>
      </c>
      <c r="BI8" s="1">
        <v>17.0</v>
      </c>
      <c r="BJ8" s="1" t="s">
        <v>129</v>
      </c>
      <c r="BK8" s="1">
        <v>15.0</v>
      </c>
      <c r="BL8" s="1">
        <v>0.0</v>
      </c>
    </row>
    <row r="9">
      <c r="A9" s="1" t="s">
        <v>12</v>
      </c>
      <c r="B9" s="1" t="s">
        <v>15</v>
      </c>
      <c r="C9" s="1" t="s">
        <v>16</v>
      </c>
      <c r="D9" s="1">
        <v>8.0</v>
      </c>
      <c r="E9" s="1">
        <v>13.0</v>
      </c>
      <c r="F9" s="1" t="s">
        <v>129</v>
      </c>
      <c r="G9" s="1">
        <v>4.0</v>
      </c>
      <c r="H9" s="1">
        <v>7.0</v>
      </c>
      <c r="I9" s="1">
        <v>9.0</v>
      </c>
      <c r="J9" s="1" t="s">
        <v>129</v>
      </c>
      <c r="K9" s="1">
        <v>6.0</v>
      </c>
      <c r="L9" s="1">
        <v>13.0</v>
      </c>
      <c r="M9" s="1">
        <v>15.0</v>
      </c>
      <c r="N9" s="1" t="s">
        <v>129</v>
      </c>
      <c r="O9" s="1">
        <v>1.0</v>
      </c>
      <c r="P9" s="1">
        <v>7.0</v>
      </c>
      <c r="Q9" s="1">
        <v>6.0</v>
      </c>
      <c r="R9" s="1" t="s">
        <v>129</v>
      </c>
      <c r="S9" s="1">
        <v>6.0</v>
      </c>
      <c r="T9" s="1">
        <v>19.0</v>
      </c>
      <c r="U9" s="1">
        <v>5.0</v>
      </c>
      <c r="V9" s="1" t="s">
        <v>129</v>
      </c>
      <c r="W9" s="1">
        <v>1.0</v>
      </c>
      <c r="X9" s="1">
        <v>4.0</v>
      </c>
      <c r="Y9" s="1">
        <v>14.0</v>
      </c>
      <c r="Z9" s="1" t="s">
        <v>129</v>
      </c>
      <c r="AA9" s="1">
        <v>5.0</v>
      </c>
      <c r="AB9" s="1">
        <v>5.0</v>
      </c>
      <c r="AC9" s="1">
        <v>17.0</v>
      </c>
      <c r="AD9" s="1" t="s">
        <v>129</v>
      </c>
      <c r="AE9" s="1">
        <v>10.0</v>
      </c>
      <c r="AF9" s="1">
        <v>18.0</v>
      </c>
      <c r="AG9" s="1">
        <v>4.0</v>
      </c>
      <c r="AH9" s="1" t="s">
        <v>129</v>
      </c>
      <c r="AI9" s="1">
        <v>1.0</v>
      </c>
      <c r="AJ9" s="1">
        <v>7.0</v>
      </c>
      <c r="AK9" s="1">
        <v>4.0</v>
      </c>
      <c r="AL9" s="1" t="s">
        <v>129</v>
      </c>
      <c r="AM9" s="1">
        <v>6.0</v>
      </c>
      <c r="AN9" s="1">
        <v>4.0</v>
      </c>
      <c r="AO9" s="1">
        <v>4.0</v>
      </c>
      <c r="AP9" s="1" t="s">
        <v>129</v>
      </c>
      <c r="AQ9" s="1">
        <v>12.0</v>
      </c>
      <c r="AR9" s="1">
        <v>4.0</v>
      </c>
      <c r="AS9" s="1">
        <v>10.0</v>
      </c>
      <c r="AT9" s="1" t="s">
        <v>129</v>
      </c>
      <c r="AU9" s="1">
        <v>12.0</v>
      </c>
      <c r="AV9" s="1">
        <v>4.0</v>
      </c>
      <c r="AW9" s="1">
        <v>1.0</v>
      </c>
      <c r="AX9" s="1" t="s">
        <v>129</v>
      </c>
      <c r="AY9" s="1">
        <v>5.0</v>
      </c>
      <c r="AZ9" s="1">
        <v>21.0</v>
      </c>
      <c r="BA9" s="1">
        <v>17.0</v>
      </c>
      <c r="BB9" s="1" t="s">
        <v>129</v>
      </c>
      <c r="BC9" s="1">
        <v>0.0</v>
      </c>
      <c r="BD9" s="1">
        <v>3.0</v>
      </c>
      <c r="BE9" s="1">
        <v>3.0</v>
      </c>
      <c r="BF9" s="1" t="s">
        <v>129</v>
      </c>
      <c r="BG9" s="1">
        <v>6.0</v>
      </c>
      <c r="BH9" s="1">
        <v>5.0</v>
      </c>
      <c r="BI9" s="1">
        <v>18.0</v>
      </c>
      <c r="BJ9" s="1" t="s">
        <v>129</v>
      </c>
      <c r="BK9" s="1">
        <v>10.0</v>
      </c>
      <c r="BL9" s="1">
        <v>0.0</v>
      </c>
    </row>
    <row r="10">
      <c r="A10" s="1" t="s">
        <v>12</v>
      </c>
      <c r="B10" s="1" t="s">
        <v>13</v>
      </c>
      <c r="C10" s="1" t="s">
        <v>14</v>
      </c>
      <c r="D10" s="1">
        <v>1.0</v>
      </c>
      <c r="E10" s="1">
        <v>1.0</v>
      </c>
      <c r="F10" s="1" t="s">
        <v>130</v>
      </c>
      <c r="G10" s="1">
        <v>26.0</v>
      </c>
      <c r="H10" s="1">
        <v>1.0</v>
      </c>
      <c r="I10" s="1">
        <v>2.0</v>
      </c>
      <c r="J10" s="1" t="s">
        <v>130</v>
      </c>
      <c r="K10" s="1">
        <v>26.0</v>
      </c>
      <c r="L10" s="1">
        <v>2.0</v>
      </c>
      <c r="M10" s="1">
        <v>1.0</v>
      </c>
      <c r="N10" s="1" t="s">
        <v>130</v>
      </c>
      <c r="O10" s="1">
        <v>19.0</v>
      </c>
      <c r="P10" s="1">
        <v>2.0</v>
      </c>
      <c r="Q10" s="1">
        <v>3.0</v>
      </c>
      <c r="R10" s="1" t="s">
        <v>130</v>
      </c>
      <c r="S10" s="1">
        <v>19.0</v>
      </c>
      <c r="T10" s="1">
        <v>1.0</v>
      </c>
      <c r="U10" s="1">
        <v>3.0</v>
      </c>
      <c r="V10" s="1" t="s">
        <v>129</v>
      </c>
      <c r="W10" s="1">
        <v>25.0</v>
      </c>
      <c r="X10" s="1">
        <v>21.0</v>
      </c>
      <c r="Y10" s="1">
        <v>6.0</v>
      </c>
      <c r="Z10" s="1" t="s">
        <v>129</v>
      </c>
      <c r="AA10" s="1">
        <v>0.0</v>
      </c>
      <c r="AB10" s="1">
        <v>4.0</v>
      </c>
      <c r="AC10" s="1">
        <v>2.0</v>
      </c>
      <c r="AD10" s="1" t="s">
        <v>130</v>
      </c>
      <c r="AE10" s="1">
        <v>13.0</v>
      </c>
      <c r="AF10" s="1">
        <v>22.0</v>
      </c>
      <c r="AG10" s="1">
        <v>22.0</v>
      </c>
      <c r="AH10" s="1" t="s">
        <v>129</v>
      </c>
      <c r="AI10" s="1">
        <v>0.0</v>
      </c>
      <c r="AJ10" s="1">
        <v>3.0</v>
      </c>
      <c r="AK10" s="1">
        <v>1.0</v>
      </c>
      <c r="AL10" s="1" t="s">
        <v>130</v>
      </c>
      <c r="AM10" s="1">
        <v>16.0</v>
      </c>
      <c r="AN10" s="1">
        <v>22.0</v>
      </c>
      <c r="AO10" s="1">
        <v>22.0</v>
      </c>
      <c r="AP10" s="1" t="s">
        <v>129</v>
      </c>
      <c r="AQ10" s="1">
        <v>0.0</v>
      </c>
      <c r="AR10" s="1">
        <v>2.0</v>
      </c>
      <c r="AS10" s="1">
        <v>15.0</v>
      </c>
      <c r="AT10" s="1" t="s">
        <v>129</v>
      </c>
      <c r="AU10" s="1">
        <v>18.0</v>
      </c>
      <c r="AV10" s="1">
        <v>5.0</v>
      </c>
      <c r="AW10" s="1">
        <v>15.0</v>
      </c>
      <c r="AX10" s="1" t="s">
        <v>130</v>
      </c>
      <c r="AY10" s="1">
        <v>5.0</v>
      </c>
      <c r="AZ10" s="1">
        <v>1.0</v>
      </c>
      <c r="BA10" s="1">
        <v>16.0</v>
      </c>
      <c r="BB10" s="1" t="s">
        <v>130</v>
      </c>
      <c r="BC10" s="1">
        <v>26.0</v>
      </c>
      <c r="BD10" s="1">
        <v>2.0</v>
      </c>
      <c r="BE10" s="1">
        <v>1.0</v>
      </c>
      <c r="BF10" s="1" t="s">
        <v>130</v>
      </c>
      <c r="BG10" s="1">
        <v>8.0</v>
      </c>
      <c r="BH10" s="1">
        <v>1.0</v>
      </c>
      <c r="BI10" s="1">
        <v>19.0</v>
      </c>
      <c r="BJ10" s="1" t="s">
        <v>130</v>
      </c>
      <c r="BK10" s="1">
        <v>26.0</v>
      </c>
      <c r="BL10" s="1">
        <v>0.0</v>
      </c>
    </row>
    <row r="11">
      <c r="A11" s="1" t="s">
        <v>27</v>
      </c>
      <c r="B11" s="1" t="s">
        <v>170</v>
      </c>
      <c r="C11" s="1" t="s">
        <v>191</v>
      </c>
      <c r="D11" s="1">
        <v>14.0</v>
      </c>
      <c r="E11" s="1">
        <v>19.0</v>
      </c>
      <c r="F11" s="1" t="s">
        <v>129</v>
      </c>
      <c r="G11" s="1">
        <v>1.0</v>
      </c>
      <c r="H11" s="1">
        <v>6.0</v>
      </c>
      <c r="I11" s="1">
        <v>5.0</v>
      </c>
      <c r="J11" s="1" t="s">
        <v>129</v>
      </c>
      <c r="K11" s="1">
        <v>8.0</v>
      </c>
      <c r="L11" s="1">
        <v>21.0</v>
      </c>
      <c r="M11" s="1">
        <v>20.0</v>
      </c>
      <c r="N11" s="1" t="s">
        <v>129</v>
      </c>
      <c r="O11" s="1">
        <v>0.0</v>
      </c>
      <c r="P11" s="1">
        <v>18.0</v>
      </c>
      <c r="Q11" s="1">
        <v>10.0</v>
      </c>
      <c r="R11" s="1" t="s">
        <v>129</v>
      </c>
      <c r="S11" s="1">
        <v>1.0</v>
      </c>
      <c r="T11" s="1">
        <v>5.0</v>
      </c>
      <c r="U11" s="1">
        <v>14.0</v>
      </c>
      <c r="V11" s="1" t="s">
        <v>129</v>
      </c>
      <c r="W11" s="1">
        <v>10.0</v>
      </c>
      <c r="X11" s="1">
        <v>22.0</v>
      </c>
      <c r="Y11" s="1">
        <v>22.0</v>
      </c>
      <c r="Z11" s="1" t="s">
        <v>129</v>
      </c>
      <c r="AA11" s="1">
        <v>0.0</v>
      </c>
      <c r="AB11" s="1">
        <v>22.0</v>
      </c>
      <c r="AC11" s="1">
        <v>22.0</v>
      </c>
      <c r="AD11" s="1" t="s">
        <v>129</v>
      </c>
      <c r="AE11" s="1">
        <v>0.0</v>
      </c>
      <c r="AF11" s="1">
        <v>22.0</v>
      </c>
      <c r="AG11" s="1">
        <v>22.0</v>
      </c>
      <c r="AH11" s="1" t="s">
        <v>129</v>
      </c>
      <c r="AI11" s="1">
        <v>0.0</v>
      </c>
      <c r="AJ11" s="1">
        <v>22.0</v>
      </c>
      <c r="AK11" s="1">
        <v>22.0</v>
      </c>
      <c r="AL11" s="1" t="s">
        <v>129</v>
      </c>
      <c r="AM11" s="1">
        <v>0.0</v>
      </c>
      <c r="AN11" s="1">
        <v>22.0</v>
      </c>
      <c r="AO11" s="1">
        <v>22.0</v>
      </c>
      <c r="AP11" s="1" t="s">
        <v>129</v>
      </c>
      <c r="AQ11" s="1">
        <v>0.0</v>
      </c>
      <c r="AR11" s="1">
        <v>22.0</v>
      </c>
      <c r="AS11" s="1">
        <v>22.0</v>
      </c>
      <c r="AT11" s="1" t="s">
        <v>129</v>
      </c>
      <c r="AU11" s="1">
        <v>0.0</v>
      </c>
      <c r="AV11" s="1">
        <v>22.0</v>
      </c>
      <c r="AW11" s="1">
        <v>22.0</v>
      </c>
      <c r="AX11" s="1" t="s">
        <v>129</v>
      </c>
      <c r="AY11" s="1">
        <v>0.0</v>
      </c>
      <c r="AZ11" s="1">
        <v>22.0</v>
      </c>
      <c r="BA11" s="1">
        <v>22.0</v>
      </c>
      <c r="BB11" s="1" t="s">
        <v>129</v>
      </c>
      <c r="BC11" s="1">
        <v>0.0</v>
      </c>
      <c r="BD11" s="1">
        <v>22.0</v>
      </c>
      <c r="BE11" s="1">
        <v>22.0</v>
      </c>
      <c r="BF11" s="1" t="s">
        <v>129</v>
      </c>
      <c r="BG11" s="1">
        <v>0.0</v>
      </c>
      <c r="BH11" s="1">
        <v>22.0</v>
      </c>
      <c r="BI11" s="1">
        <v>22.0</v>
      </c>
      <c r="BJ11" s="1" t="s">
        <v>129</v>
      </c>
      <c r="BK11" s="1">
        <v>0.0</v>
      </c>
      <c r="BL11" s="1">
        <v>0.0</v>
      </c>
    </row>
    <row r="12">
      <c r="A12" s="1" t="s">
        <v>27</v>
      </c>
      <c r="B12" s="1" t="s">
        <v>35</v>
      </c>
      <c r="C12" s="1" t="s">
        <v>36</v>
      </c>
      <c r="D12" s="1">
        <v>17.0</v>
      </c>
      <c r="E12" s="1">
        <v>8.0</v>
      </c>
      <c r="F12" s="1" t="s">
        <v>129</v>
      </c>
      <c r="G12" s="1">
        <v>1.0</v>
      </c>
      <c r="H12" s="1">
        <v>11.0</v>
      </c>
      <c r="I12" s="1">
        <v>7.0</v>
      </c>
      <c r="J12" s="1" t="s">
        <v>129</v>
      </c>
      <c r="K12" s="1">
        <v>1.0</v>
      </c>
      <c r="L12" s="1">
        <v>21.0</v>
      </c>
      <c r="M12" s="1">
        <v>19.0</v>
      </c>
      <c r="N12" s="1" t="s">
        <v>129</v>
      </c>
      <c r="O12" s="1">
        <v>0.0</v>
      </c>
      <c r="P12" s="1">
        <v>15.0</v>
      </c>
      <c r="Q12" s="1">
        <v>11.0</v>
      </c>
      <c r="R12" s="1" t="s">
        <v>129</v>
      </c>
      <c r="S12" s="1">
        <v>1.0</v>
      </c>
      <c r="T12" s="1">
        <v>22.0</v>
      </c>
      <c r="U12" s="1">
        <v>22.0</v>
      </c>
      <c r="V12" s="1" t="s">
        <v>129</v>
      </c>
      <c r="W12" s="1">
        <v>0.0</v>
      </c>
      <c r="X12" s="1">
        <v>5.0</v>
      </c>
      <c r="Y12" s="1">
        <v>15.0</v>
      </c>
      <c r="Z12" s="1" t="s">
        <v>129</v>
      </c>
      <c r="AA12" s="1">
        <v>4.0</v>
      </c>
      <c r="AB12" s="1">
        <v>6.0</v>
      </c>
      <c r="AC12" s="1">
        <v>16.0</v>
      </c>
      <c r="AD12" s="1" t="s">
        <v>129</v>
      </c>
      <c r="AE12" s="1">
        <v>8.0</v>
      </c>
      <c r="AF12" s="1">
        <v>16.0</v>
      </c>
      <c r="AG12" s="1">
        <v>5.0</v>
      </c>
      <c r="AH12" s="1" t="s">
        <v>129</v>
      </c>
      <c r="AI12" s="1">
        <v>1.0</v>
      </c>
      <c r="AJ12" s="1">
        <v>18.0</v>
      </c>
      <c r="AK12" s="1">
        <v>20.0</v>
      </c>
      <c r="AL12" s="1" t="s">
        <v>129</v>
      </c>
      <c r="AM12" s="1">
        <v>1.0</v>
      </c>
      <c r="AN12" s="1">
        <v>22.0</v>
      </c>
      <c r="AO12" s="1">
        <v>22.0</v>
      </c>
      <c r="AP12" s="1" t="s">
        <v>129</v>
      </c>
      <c r="AQ12" s="1">
        <v>0.0</v>
      </c>
      <c r="AR12" s="1">
        <v>10.0</v>
      </c>
      <c r="AS12" s="1">
        <v>5.0</v>
      </c>
      <c r="AT12" s="1" t="s">
        <v>129</v>
      </c>
      <c r="AU12" s="1">
        <v>2.0</v>
      </c>
      <c r="AV12" s="1">
        <v>22.0</v>
      </c>
      <c r="AW12" s="1">
        <v>22.0</v>
      </c>
      <c r="AX12" s="1" t="s">
        <v>129</v>
      </c>
      <c r="AY12" s="1">
        <v>0.0</v>
      </c>
      <c r="AZ12" s="1">
        <v>22.0</v>
      </c>
      <c r="BA12" s="1">
        <v>22.0</v>
      </c>
      <c r="BB12" s="1" t="s">
        <v>129</v>
      </c>
      <c r="BC12" s="1">
        <v>0.0</v>
      </c>
      <c r="BD12" s="1">
        <v>13.0</v>
      </c>
      <c r="BE12" s="1">
        <v>20.0</v>
      </c>
      <c r="BF12" s="1" t="s">
        <v>129</v>
      </c>
      <c r="BG12" s="1">
        <v>0.5</v>
      </c>
      <c r="BH12" s="1">
        <v>18.0</v>
      </c>
      <c r="BI12" s="1">
        <v>12.0</v>
      </c>
      <c r="BJ12" s="1" t="s">
        <v>129</v>
      </c>
      <c r="BK12" s="1">
        <v>1.0</v>
      </c>
      <c r="BL12" s="1">
        <v>0.0</v>
      </c>
    </row>
    <row r="13">
      <c r="A13" s="1" t="s">
        <v>32</v>
      </c>
      <c r="B13" s="1" t="s">
        <v>140</v>
      </c>
      <c r="C13" s="1" t="s">
        <v>141</v>
      </c>
      <c r="D13" s="1">
        <v>18.0</v>
      </c>
      <c r="E13" s="1">
        <v>20.0</v>
      </c>
      <c r="F13" s="1" t="s">
        <v>129</v>
      </c>
      <c r="G13" s="1">
        <v>1.0</v>
      </c>
      <c r="H13" s="1">
        <v>19.0</v>
      </c>
      <c r="I13" s="1">
        <v>19.0</v>
      </c>
      <c r="J13" s="1" t="s">
        <v>129</v>
      </c>
      <c r="K13" s="1">
        <v>1.0</v>
      </c>
      <c r="L13" s="1">
        <v>22.0</v>
      </c>
      <c r="M13" s="1">
        <v>22.0</v>
      </c>
      <c r="N13" s="1" t="s">
        <v>129</v>
      </c>
      <c r="O13" s="1">
        <v>0.0</v>
      </c>
      <c r="P13" s="1">
        <v>22.0</v>
      </c>
      <c r="Q13" s="1">
        <v>22.0</v>
      </c>
      <c r="R13" s="1" t="s">
        <v>129</v>
      </c>
      <c r="S13" s="1">
        <v>0.0</v>
      </c>
      <c r="T13" s="1">
        <v>22.0</v>
      </c>
      <c r="U13" s="1">
        <v>22.0</v>
      </c>
      <c r="V13" s="1" t="s">
        <v>129</v>
      </c>
      <c r="W13" s="1">
        <v>0.0</v>
      </c>
      <c r="X13" s="1">
        <v>22.0</v>
      </c>
      <c r="Y13" s="1">
        <v>22.0</v>
      </c>
      <c r="Z13" s="1" t="s">
        <v>129</v>
      </c>
      <c r="AA13" s="1">
        <v>0.0</v>
      </c>
      <c r="AB13" s="1">
        <v>22.0</v>
      </c>
      <c r="AC13" s="1">
        <v>22.0</v>
      </c>
      <c r="AD13" s="1" t="s">
        <v>129</v>
      </c>
      <c r="AE13" s="1">
        <v>0.0</v>
      </c>
      <c r="AF13" s="1">
        <v>22.0</v>
      </c>
      <c r="AG13" s="1">
        <v>22.0</v>
      </c>
      <c r="AH13" s="1" t="s">
        <v>129</v>
      </c>
      <c r="AI13" s="1">
        <v>0.0</v>
      </c>
      <c r="AJ13" s="1">
        <v>22.0</v>
      </c>
      <c r="AK13" s="1">
        <v>22.0</v>
      </c>
      <c r="AL13" s="1" t="s">
        <v>129</v>
      </c>
      <c r="AM13" s="1">
        <v>0.0</v>
      </c>
      <c r="AN13" s="1">
        <v>22.0</v>
      </c>
      <c r="AO13" s="1">
        <v>22.0</v>
      </c>
      <c r="AP13" s="1" t="s">
        <v>129</v>
      </c>
      <c r="AQ13" s="1">
        <v>0.0</v>
      </c>
      <c r="AR13" s="1">
        <v>22.0</v>
      </c>
      <c r="AS13" s="1">
        <v>22.0</v>
      </c>
      <c r="AT13" s="1" t="s">
        <v>129</v>
      </c>
      <c r="AU13" s="1">
        <v>0.0</v>
      </c>
      <c r="AV13" s="1">
        <v>22.0</v>
      </c>
      <c r="AW13" s="1">
        <v>22.0</v>
      </c>
      <c r="AX13" s="1" t="s">
        <v>129</v>
      </c>
      <c r="AY13" s="1">
        <v>0.0</v>
      </c>
      <c r="AZ13" s="1">
        <v>22.0</v>
      </c>
      <c r="BA13" s="1">
        <v>22.0</v>
      </c>
      <c r="BB13" s="1" t="s">
        <v>129</v>
      </c>
      <c r="BC13" s="1">
        <v>0.0</v>
      </c>
      <c r="BD13" s="1">
        <v>22.0</v>
      </c>
      <c r="BE13" s="1">
        <v>22.0</v>
      </c>
      <c r="BF13" s="1" t="s">
        <v>129</v>
      </c>
      <c r="BG13" s="1">
        <v>0.0</v>
      </c>
      <c r="BH13" s="1">
        <v>22.0</v>
      </c>
      <c r="BI13" s="1">
        <v>22.0</v>
      </c>
      <c r="BJ13" s="1" t="s">
        <v>129</v>
      </c>
      <c r="BK13" s="1">
        <v>0.0</v>
      </c>
      <c r="BL13" s="1">
        <v>0.0</v>
      </c>
    </row>
    <row r="14">
      <c r="A14" s="1" t="s">
        <v>32</v>
      </c>
      <c r="B14" s="1" t="s">
        <v>132</v>
      </c>
      <c r="C14" s="1" t="s">
        <v>133</v>
      </c>
      <c r="G14" s="1">
        <v>0.0</v>
      </c>
      <c r="K14" s="1">
        <v>0.0</v>
      </c>
      <c r="O14" s="1">
        <v>0.0</v>
      </c>
      <c r="S14" s="1">
        <v>0.0</v>
      </c>
      <c r="W14" s="1">
        <v>0.0</v>
      </c>
      <c r="AA14" s="1">
        <v>0.0</v>
      </c>
      <c r="AE14" s="1">
        <v>0.0</v>
      </c>
      <c r="AI14" s="1">
        <v>0.0</v>
      </c>
      <c r="AM14" s="1">
        <v>0.0</v>
      </c>
      <c r="AQ14" s="1">
        <v>0.0</v>
      </c>
      <c r="AR14" s="1">
        <v>22.0</v>
      </c>
      <c r="AS14" s="1">
        <v>22.0</v>
      </c>
      <c r="AT14" s="1" t="s">
        <v>129</v>
      </c>
      <c r="AU14" s="1">
        <v>0.0</v>
      </c>
      <c r="AV14" s="1">
        <v>22.0</v>
      </c>
      <c r="AW14" s="1">
        <v>22.0</v>
      </c>
      <c r="AX14" s="1" t="s">
        <v>129</v>
      </c>
      <c r="AY14" s="1">
        <v>0.0</v>
      </c>
      <c r="AZ14" s="1">
        <v>22.0</v>
      </c>
      <c r="BA14" s="1">
        <v>22.0</v>
      </c>
      <c r="BB14" s="1" t="s">
        <v>129</v>
      </c>
      <c r="BC14" s="1">
        <v>0.0</v>
      </c>
      <c r="BD14" s="1">
        <v>22.0</v>
      </c>
      <c r="BE14" s="1">
        <v>22.0</v>
      </c>
      <c r="BF14" s="1" t="s">
        <v>129</v>
      </c>
      <c r="BG14" s="1">
        <v>0.0</v>
      </c>
      <c r="BH14" s="1">
        <v>22.0</v>
      </c>
      <c r="BI14" s="1">
        <v>22.0</v>
      </c>
      <c r="BJ14" s="1" t="s">
        <v>129</v>
      </c>
      <c r="BK14" s="1">
        <v>0.0</v>
      </c>
      <c r="BL14" s="1">
        <v>0.0</v>
      </c>
    </row>
    <row r="15">
      <c r="A15" s="1" t="s">
        <v>32</v>
      </c>
      <c r="B15" s="1" t="s">
        <v>33</v>
      </c>
      <c r="C15" s="1" t="s">
        <v>34</v>
      </c>
      <c r="D15" s="1">
        <v>3.0</v>
      </c>
      <c r="E15" s="1">
        <v>18.0</v>
      </c>
      <c r="F15" s="1" t="s">
        <v>129</v>
      </c>
      <c r="G15" s="1">
        <v>15.0</v>
      </c>
      <c r="H15" s="1">
        <v>22.0</v>
      </c>
      <c r="I15" s="1">
        <v>22.0</v>
      </c>
      <c r="J15" s="1" t="s">
        <v>129</v>
      </c>
      <c r="K15" s="1">
        <v>0.0</v>
      </c>
      <c r="L15" s="1">
        <v>11.0</v>
      </c>
      <c r="M15" s="1">
        <v>3.0</v>
      </c>
      <c r="N15" s="1" t="s">
        <v>129</v>
      </c>
      <c r="O15" s="1">
        <v>1.0</v>
      </c>
      <c r="P15" s="1">
        <v>3.0</v>
      </c>
      <c r="Q15" s="1">
        <v>7.0</v>
      </c>
      <c r="R15" s="1" t="s">
        <v>129</v>
      </c>
      <c r="S15" s="1">
        <v>15.0</v>
      </c>
      <c r="T15" s="1">
        <v>8.0</v>
      </c>
      <c r="U15" s="1">
        <v>4.0</v>
      </c>
      <c r="V15" s="1" t="s">
        <v>129</v>
      </c>
      <c r="W15" s="1">
        <v>4.0</v>
      </c>
      <c r="X15" s="1">
        <v>22.0</v>
      </c>
      <c r="Y15" s="1">
        <v>22.0</v>
      </c>
      <c r="Z15" s="1" t="s">
        <v>129</v>
      </c>
      <c r="AA15" s="1">
        <v>0.0</v>
      </c>
      <c r="AB15" s="1">
        <v>22.0</v>
      </c>
      <c r="AC15" s="1">
        <v>22.0</v>
      </c>
      <c r="AD15" s="1" t="s">
        <v>129</v>
      </c>
      <c r="AE15" s="1">
        <v>0.0</v>
      </c>
      <c r="AF15" s="1">
        <v>21.0</v>
      </c>
      <c r="AG15" s="1">
        <v>22.0</v>
      </c>
      <c r="AH15" s="1" t="s">
        <v>129</v>
      </c>
      <c r="AI15" s="1">
        <v>0.0</v>
      </c>
      <c r="AJ15" s="1">
        <v>1.0</v>
      </c>
      <c r="AK15" s="1">
        <v>2.0</v>
      </c>
      <c r="AL15" s="1" t="s">
        <v>129</v>
      </c>
      <c r="AM15" s="1">
        <v>25.0</v>
      </c>
      <c r="AN15" s="1">
        <v>2.0</v>
      </c>
      <c r="AO15" s="1">
        <v>1.0</v>
      </c>
      <c r="AP15" s="1" t="s">
        <v>130</v>
      </c>
      <c r="AQ15" s="1">
        <v>19.0</v>
      </c>
      <c r="AU15" s="1">
        <v>0.0</v>
      </c>
      <c r="AY15" s="1">
        <v>0.0</v>
      </c>
      <c r="BC15" s="1">
        <v>0.0</v>
      </c>
      <c r="BG15" s="1">
        <v>0.0</v>
      </c>
      <c r="BK15" s="1">
        <v>0.0</v>
      </c>
      <c r="BL15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192</v>
      </c>
    </row>
    <row r="2">
      <c r="A2" s="1" t="s">
        <v>193</v>
      </c>
      <c r="B2" s="2">
        <v>45609.0</v>
      </c>
    </row>
    <row r="3">
      <c r="A3" s="1" t="s">
        <v>154</v>
      </c>
      <c r="B3" s="2">
        <v>45616.0</v>
      </c>
    </row>
    <row r="4">
      <c r="A4" s="1" t="s">
        <v>149</v>
      </c>
      <c r="B4" s="2">
        <v>45630.0</v>
      </c>
    </row>
    <row r="5">
      <c r="A5" s="1" t="s">
        <v>144</v>
      </c>
      <c r="B5" s="2">
        <v>45637.0</v>
      </c>
    </row>
    <row r="6">
      <c r="A6" s="1" t="s">
        <v>150</v>
      </c>
      <c r="B6" s="2">
        <v>45658.0</v>
      </c>
    </row>
    <row r="7">
      <c r="A7" s="1" t="s">
        <v>146</v>
      </c>
      <c r="B7" s="2">
        <v>45658.0</v>
      </c>
    </row>
    <row r="8">
      <c r="A8" s="1" t="s">
        <v>194</v>
      </c>
      <c r="B8" s="2">
        <v>45665.0</v>
      </c>
    </row>
    <row r="9">
      <c r="A9" s="1" t="s">
        <v>174</v>
      </c>
      <c r="B9" s="2">
        <v>45665.0</v>
      </c>
    </row>
    <row r="10">
      <c r="A10" s="1" t="s">
        <v>195</v>
      </c>
      <c r="B10" s="2">
        <v>45672.0</v>
      </c>
    </row>
    <row r="11">
      <c r="A11" s="1" t="s">
        <v>147</v>
      </c>
      <c r="B11" s="2">
        <v>45679.0</v>
      </c>
    </row>
    <row r="12">
      <c r="A12" s="1" t="s">
        <v>152</v>
      </c>
      <c r="B12" s="2">
        <v>45686.0</v>
      </c>
    </row>
    <row r="13">
      <c r="A13" s="1" t="s">
        <v>160</v>
      </c>
      <c r="B13" s="2">
        <v>45693.0</v>
      </c>
    </row>
    <row r="14">
      <c r="A14" s="1" t="s">
        <v>196</v>
      </c>
      <c r="B14" s="2">
        <v>45696.0</v>
      </c>
    </row>
    <row r="15">
      <c r="A15" s="1" t="s">
        <v>148</v>
      </c>
      <c r="B15" s="2">
        <v>45696.0</v>
      </c>
    </row>
    <row r="16">
      <c r="A16" s="1" t="s">
        <v>197</v>
      </c>
      <c r="B16" s="2">
        <v>45700.0</v>
      </c>
    </row>
    <row r="17">
      <c r="A17" s="1" t="s">
        <v>156</v>
      </c>
      <c r="B17" s="2">
        <v>45700.0</v>
      </c>
    </row>
    <row r="18">
      <c r="A18" s="1" t="s">
        <v>198</v>
      </c>
      <c r="B18" s="2">
        <v>45707.0</v>
      </c>
    </row>
    <row r="19">
      <c r="B19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3" t="s">
        <v>49</v>
      </c>
      <c r="B1" s="4" t="s">
        <v>50</v>
      </c>
      <c r="C1" s="5" t="s">
        <v>51</v>
      </c>
      <c r="D1" s="6" t="s">
        <v>52</v>
      </c>
      <c r="E1" s="7" t="s">
        <v>53</v>
      </c>
      <c r="F1" s="8" t="s">
        <v>54</v>
      </c>
      <c r="G1" s="9" t="s">
        <v>199</v>
      </c>
      <c r="H1" s="10" t="s">
        <v>200</v>
      </c>
      <c r="I1" s="11" t="s">
        <v>201</v>
      </c>
      <c r="J1" s="12" t="s">
        <v>55</v>
      </c>
      <c r="K1" s="6" t="s">
        <v>202</v>
      </c>
      <c r="L1" s="7" t="s">
        <v>203</v>
      </c>
      <c r="M1" s="8" t="s">
        <v>204</v>
      </c>
      <c r="N1" s="9" t="s">
        <v>205</v>
      </c>
      <c r="O1" s="10" t="s">
        <v>206</v>
      </c>
      <c r="P1" s="11" t="s">
        <v>207</v>
      </c>
      <c r="Q1" s="12" t="s">
        <v>208</v>
      </c>
      <c r="R1" s="6" t="s">
        <v>64</v>
      </c>
      <c r="S1" s="7" t="s">
        <v>65</v>
      </c>
      <c r="T1" s="8" t="s">
        <v>66</v>
      </c>
      <c r="U1" s="9" t="s">
        <v>209</v>
      </c>
      <c r="V1" s="10" t="s">
        <v>210</v>
      </c>
      <c r="W1" s="11" t="s">
        <v>211</v>
      </c>
      <c r="X1" s="12" t="s">
        <v>67</v>
      </c>
      <c r="Y1" s="6" t="s">
        <v>68</v>
      </c>
      <c r="Z1" s="7" t="s">
        <v>69</v>
      </c>
      <c r="AA1" s="8" t="s">
        <v>70</v>
      </c>
      <c r="AB1" s="9" t="s">
        <v>212</v>
      </c>
      <c r="AC1" s="10" t="s">
        <v>213</v>
      </c>
      <c r="AD1" s="11" t="s">
        <v>214</v>
      </c>
      <c r="AE1" s="12" t="s">
        <v>71</v>
      </c>
      <c r="AF1" s="6" t="s">
        <v>112</v>
      </c>
      <c r="AG1" s="7" t="s">
        <v>113</v>
      </c>
      <c r="AH1" s="8" t="s">
        <v>114</v>
      </c>
      <c r="AI1" s="9" t="s">
        <v>215</v>
      </c>
      <c r="AJ1" s="10" t="s">
        <v>216</v>
      </c>
      <c r="AK1" s="11" t="s">
        <v>217</v>
      </c>
      <c r="AL1" s="12" t="s">
        <v>115</v>
      </c>
      <c r="AM1" s="6" t="s">
        <v>179</v>
      </c>
      <c r="AN1" s="7" t="s">
        <v>180</v>
      </c>
      <c r="AO1" s="8" t="s">
        <v>181</v>
      </c>
      <c r="AP1" s="9" t="s">
        <v>218</v>
      </c>
      <c r="AQ1" s="10" t="s">
        <v>219</v>
      </c>
      <c r="AR1" s="11" t="s">
        <v>220</v>
      </c>
      <c r="AS1" s="12" t="s">
        <v>182</v>
      </c>
      <c r="AT1" s="6" t="s">
        <v>221</v>
      </c>
      <c r="AU1" s="7" t="s">
        <v>222</v>
      </c>
      <c r="AV1" s="8" t="s">
        <v>223</v>
      </c>
      <c r="AW1" s="9" t="s">
        <v>224</v>
      </c>
      <c r="AX1" s="10" t="s">
        <v>225</v>
      </c>
      <c r="AY1" s="11" t="s">
        <v>226</v>
      </c>
      <c r="AZ1" s="12" t="s">
        <v>227</v>
      </c>
      <c r="BA1" s="6" t="s">
        <v>228</v>
      </c>
      <c r="BB1" s="7" t="s">
        <v>229</v>
      </c>
      <c r="BC1" s="8" t="s">
        <v>230</v>
      </c>
      <c r="BD1" s="9" t="s">
        <v>231</v>
      </c>
      <c r="BE1" s="10" t="s">
        <v>232</v>
      </c>
      <c r="BF1" s="11" t="s">
        <v>233</v>
      </c>
      <c r="BG1" s="12" t="s">
        <v>234</v>
      </c>
      <c r="BH1" s="6" t="s">
        <v>84</v>
      </c>
      <c r="BI1" s="7" t="s">
        <v>85</v>
      </c>
      <c r="BJ1" s="8" t="s">
        <v>86</v>
      </c>
      <c r="BK1" s="9" t="s">
        <v>235</v>
      </c>
      <c r="BL1" s="10" t="s">
        <v>236</v>
      </c>
      <c r="BM1" s="11" t="s">
        <v>237</v>
      </c>
      <c r="BN1" s="12" t="s">
        <v>87</v>
      </c>
      <c r="BO1" s="6" t="s">
        <v>238</v>
      </c>
      <c r="BP1" s="7" t="s">
        <v>239</v>
      </c>
      <c r="BQ1" s="8" t="s">
        <v>240</v>
      </c>
      <c r="BR1" s="9" t="s">
        <v>241</v>
      </c>
      <c r="BS1" s="10" t="s">
        <v>242</v>
      </c>
      <c r="BT1" s="11" t="s">
        <v>243</v>
      </c>
      <c r="BU1" s="12" t="s">
        <v>244</v>
      </c>
      <c r="BV1" s="6" t="s">
        <v>116</v>
      </c>
      <c r="BW1" s="7" t="s">
        <v>117</v>
      </c>
      <c r="BX1" s="8" t="s">
        <v>118</v>
      </c>
      <c r="BY1" s="9" t="s">
        <v>245</v>
      </c>
      <c r="BZ1" s="10" t="s">
        <v>246</v>
      </c>
      <c r="CA1" s="11" t="s">
        <v>247</v>
      </c>
      <c r="CB1" s="12" t="s">
        <v>119</v>
      </c>
      <c r="CC1" s="6" t="s">
        <v>76</v>
      </c>
      <c r="CD1" s="7" t="s">
        <v>77</v>
      </c>
      <c r="CE1" s="8" t="s">
        <v>78</v>
      </c>
      <c r="CF1" s="9" t="s">
        <v>248</v>
      </c>
      <c r="CG1" s="10" t="s">
        <v>249</v>
      </c>
      <c r="CH1" s="11" t="s">
        <v>250</v>
      </c>
      <c r="CI1" s="12" t="s">
        <v>79</v>
      </c>
      <c r="CJ1" s="6" t="s">
        <v>88</v>
      </c>
      <c r="CK1" s="7" t="s">
        <v>89</v>
      </c>
      <c r="CL1" s="8" t="s">
        <v>90</v>
      </c>
      <c r="CM1" s="9" t="s">
        <v>251</v>
      </c>
      <c r="CN1" s="10" t="s">
        <v>252</v>
      </c>
      <c r="CO1" s="11" t="s">
        <v>253</v>
      </c>
      <c r="CP1" s="12" t="s">
        <v>91</v>
      </c>
      <c r="CQ1" s="6" t="s">
        <v>56</v>
      </c>
      <c r="CR1" s="7" t="s">
        <v>57</v>
      </c>
      <c r="CS1" s="8" t="s">
        <v>58</v>
      </c>
      <c r="CT1" s="9" t="s">
        <v>254</v>
      </c>
      <c r="CU1" s="10" t="s">
        <v>255</v>
      </c>
      <c r="CV1" s="11" t="s">
        <v>256</v>
      </c>
      <c r="CW1" s="12" t="s">
        <v>59</v>
      </c>
      <c r="CX1" s="6" t="s">
        <v>120</v>
      </c>
      <c r="CY1" s="7" t="s">
        <v>121</v>
      </c>
      <c r="CZ1" s="8" t="s">
        <v>122</v>
      </c>
      <c r="DA1" s="9" t="s">
        <v>257</v>
      </c>
      <c r="DB1" s="10" t="s">
        <v>258</v>
      </c>
      <c r="DC1" s="11" t="s">
        <v>259</v>
      </c>
      <c r="DD1" s="12" t="s">
        <v>123</v>
      </c>
      <c r="DE1" s="6" t="s">
        <v>124</v>
      </c>
      <c r="DF1" s="7" t="s">
        <v>125</v>
      </c>
      <c r="DG1" s="8" t="s">
        <v>126</v>
      </c>
      <c r="DH1" s="9" t="s">
        <v>260</v>
      </c>
      <c r="DI1" s="10" t="s">
        <v>261</v>
      </c>
      <c r="DJ1" s="11" t="s">
        <v>262</v>
      </c>
      <c r="DK1" s="12" t="s">
        <v>127</v>
      </c>
      <c r="DL1" s="6" t="s">
        <v>92</v>
      </c>
      <c r="DM1" s="7" t="s">
        <v>93</v>
      </c>
      <c r="DN1" s="8" t="s">
        <v>94</v>
      </c>
      <c r="DO1" s="9" t="s">
        <v>263</v>
      </c>
      <c r="DP1" s="10" t="s">
        <v>264</v>
      </c>
      <c r="DQ1" s="11" t="s">
        <v>265</v>
      </c>
      <c r="DR1" s="12" t="s">
        <v>95</v>
      </c>
      <c r="DS1" s="13" t="s">
        <v>128</v>
      </c>
    </row>
    <row r="2">
      <c r="A2" s="14" t="s">
        <v>12</v>
      </c>
      <c r="B2" s="1" t="s">
        <v>13</v>
      </c>
      <c r="C2" s="15" t="s">
        <v>14</v>
      </c>
      <c r="D2" s="16">
        <v>2.0</v>
      </c>
      <c r="E2" s="17">
        <v>3.0</v>
      </c>
      <c r="F2" s="18" t="s">
        <v>266</v>
      </c>
      <c r="G2" s="19" t="s">
        <v>267</v>
      </c>
      <c r="H2" s="20" t="s">
        <v>267</v>
      </c>
      <c r="I2" s="21" t="s">
        <v>267</v>
      </c>
      <c r="J2" s="22">
        <f>IFERROR((VLOOKUP(D2,Scoring!$A:$B,2,0))+IF(F2="y",1,0)+IF(G2="y",1,0)+IF(H2="y",1,0)+IF(I2="y",1,0),0)</f>
        <v>19</v>
      </c>
      <c r="K2" s="16">
        <v>8.0</v>
      </c>
      <c r="L2" s="17">
        <v>2.0</v>
      </c>
      <c r="M2" s="18" t="s">
        <v>267</v>
      </c>
      <c r="N2" s="19" t="s">
        <v>267</v>
      </c>
      <c r="O2" s="20" t="s">
        <v>267</v>
      </c>
      <c r="P2" s="21" t="s">
        <v>267</v>
      </c>
      <c r="Q2" s="23">
        <f>IFERROR((VLOOKUP(K2,Scoring!$D:$E,2,0))+IF(M2="y",1,0)+IF(N2="y",1,0)+IF(O2="y",1,0)+IF(P2="y",1,0),0)</f>
        <v>1</v>
      </c>
      <c r="R2" s="16">
        <v>3.0</v>
      </c>
      <c r="S2" s="17">
        <v>7.0</v>
      </c>
      <c r="T2" s="18" t="s">
        <v>267</v>
      </c>
      <c r="U2" s="19" t="s">
        <v>266</v>
      </c>
      <c r="V2" s="20" t="s">
        <v>267</v>
      </c>
      <c r="W2" s="21" t="s">
        <v>267</v>
      </c>
      <c r="X2" s="22">
        <f>IFERROR((VLOOKUP(R2,Scoring!$A:$B,2,0))+IF(T2="y",1,0)+IF(U2="y",1,0)+IF(V2="y",1,0)+IF(W2="y",1,0),0)</f>
        <v>16</v>
      </c>
      <c r="Y2" s="16">
        <v>2.0</v>
      </c>
      <c r="Z2" s="17">
        <v>2.0</v>
      </c>
      <c r="AA2" s="18" t="s">
        <v>266</v>
      </c>
      <c r="AB2" s="19" t="s">
        <v>267</v>
      </c>
      <c r="AC2" s="20" t="s">
        <v>267</v>
      </c>
      <c r="AD2" s="21" t="s">
        <v>267</v>
      </c>
      <c r="AE2" s="22">
        <f>IFERROR((VLOOKUP(Y2,Scoring!$A:$B,2,0))+IF(AA2="y",1,0)+IF(AB2="y",1,0)+IF(AC2="y",1,0)+IF(AD2="y",1,0),0)</f>
        <v>19</v>
      </c>
      <c r="AF2" s="16">
        <v>5.0</v>
      </c>
      <c r="AG2" s="17">
        <v>2.0</v>
      </c>
      <c r="AH2" s="18" t="s">
        <v>267</v>
      </c>
      <c r="AI2" s="19" t="s">
        <v>267</v>
      </c>
      <c r="AJ2" s="20" t="s">
        <v>267</v>
      </c>
      <c r="AK2" s="11" t="s">
        <v>267</v>
      </c>
      <c r="AL2" s="22">
        <f>IFERROR((VLOOKUP(AF2,Scoring!$A:$B,2,0))+IF(AH2="y",1,0)+IF(AI2="y",1,0)+IF(AJ2="y",1,0)+IF(AK2="y",1,0),0)</f>
        <v>10</v>
      </c>
      <c r="AM2" s="16">
        <v>2.0</v>
      </c>
      <c r="AN2" s="17">
        <v>2.0</v>
      </c>
      <c r="AO2" s="18" t="s">
        <v>267</v>
      </c>
      <c r="AP2" s="19" t="s">
        <v>267</v>
      </c>
      <c r="AQ2" s="20" t="s">
        <v>267</v>
      </c>
      <c r="AR2" s="11" t="s">
        <v>267</v>
      </c>
      <c r="AS2" s="22">
        <f>IFERROR((VLOOKUP(AM2,Scoring!$A:$B,2,0))+IF(AO2="y",1,0)+IF(AP2="y",1,0)+IF(AQ2="y",1,0)+IF(AR2="y",1,0),0)</f>
        <v>18</v>
      </c>
      <c r="AT2" s="16">
        <v>2.0</v>
      </c>
      <c r="AU2" s="17">
        <v>1.0</v>
      </c>
      <c r="AV2" s="18" t="s">
        <v>267</v>
      </c>
      <c r="AW2" s="19" t="s">
        <v>267</v>
      </c>
      <c r="AX2" s="20" t="s">
        <v>267</v>
      </c>
      <c r="AY2" s="11" t="s">
        <v>267</v>
      </c>
      <c r="AZ2" s="22">
        <f>IFERROR((VLOOKUP(AT2,Scoring!$A:$B,2,0))+IF(AV2="y",1,0)+IF(AW2="y",1,0)+IF(AX2="y",1,0)+IF(AY2="y",1,0),0)</f>
        <v>18</v>
      </c>
      <c r="BA2" s="16">
        <v>4.0</v>
      </c>
      <c r="BB2" s="17">
        <v>1.0</v>
      </c>
      <c r="BC2" s="18" t="s">
        <v>267</v>
      </c>
      <c r="BD2" s="19" t="s">
        <v>267</v>
      </c>
      <c r="BE2" s="20" t="s">
        <v>267</v>
      </c>
      <c r="BF2" s="11" t="s">
        <v>267</v>
      </c>
      <c r="BG2" s="22">
        <f>IFERROR((VLOOKUP(BA2,Scoring!$D:$E,2,0))+IF(BC2="y",1,0)+IF(BD2="y",1,0)+IF(BE2="y",1,0)+IF(BF2="y",1,0),0)</f>
        <v>5</v>
      </c>
      <c r="BH2" s="16">
        <v>6.0</v>
      </c>
      <c r="BI2" s="17">
        <v>12.0</v>
      </c>
      <c r="BJ2" s="18" t="s">
        <v>266</v>
      </c>
      <c r="BK2" s="19" t="s">
        <v>267</v>
      </c>
      <c r="BL2" s="20" t="s">
        <v>267</v>
      </c>
      <c r="BM2" s="11" t="s">
        <v>267</v>
      </c>
      <c r="BN2" s="22">
        <f>IFERROR((VLOOKUP(BH2,Scoring!$A:$B,2,0))+IF(BJ2="y",1,0)+IF(BK2="y",1,0)+IF(BL2="y",1,0)+IF(BM2="y",1,0),0)</f>
        <v>9</v>
      </c>
      <c r="BO2" s="16">
        <v>1.0</v>
      </c>
      <c r="BP2" s="17">
        <v>1.0</v>
      </c>
      <c r="BQ2" s="18" t="s">
        <v>267</v>
      </c>
      <c r="BR2" s="19" t="s">
        <v>267</v>
      </c>
      <c r="BS2" s="20" t="s">
        <v>267</v>
      </c>
      <c r="BT2" s="11" t="s">
        <v>267</v>
      </c>
      <c r="BU2" s="22">
        <f>IFERROR((VLOOKUP(BO2,Scoring!$D:$E,2,0))+IF(BQ2="y",1,0)+IF(BR2="y",1,0)+IF(BS2="y",1,0)+IF(BT2="y",1,0),0)</f>
        <v>8</v>
      </c>
      <c r="BV2" s="16">
        <v>2.0</v>
      </c>
      <c r="BW2" s="17">
        <v>15.0</v>
      </c>
      <c r="BX2" s="18" t="s">
        <v>267</v>
      </c>
      <c r="BY2" s="19" t="s">
        <v>267</v>
      </c>
      <c r="BZ2" s="20" t="s">
        <v>266</v>
      </c>
      <c r="CA2" s="11" t="s">
        <v>267</v>
      </c>
      <c r="CB2" s="22">
        <f>IFERROR((VLOOKUP(BV2,Scoring!$A:$B,2,0))+IF(BX2="y",1,0)+IF(BY2="y",1,0)+IF(BZ2="y",1,0)+IF(CA2="y",1,0),0)</f>
        <v>19</v>
      </c>
      <c r="CC2" s="16">
        <v>2.0</v>
      </c>
      <c r="CD2" s="17">
        <v>1.0</v>
      </c>
      <c r="CE2" s="18" t="s">
        <v>267</v>
      </c>
      <c r="CF2" s="19" t="s">
        <v>267</v>
      </c>
      <c r="CG2" s="20" t="s">
        <v>267</v>
      </c>
      <c r="CH2" s="11" t="s">
        <v>267</v>
      </c>
      <c r="CI2" s="22">
        <f>IFERROR((VLOOKUP(CC2,Scoring!$A:$B,2,0))+IF(CE2="y",1,0)+IF(CF2="y",1,0)+IF(CG2="y",1,0)+IF(CH2="y",1,0),0)</f>
        <v>18</v>
      </c>
      <c r="CJ2" s="16">
        <v>1.0</v>
      </c>
      <c r="CK2" s="17">
        <v>1.0</v>
      </c>
      <c r="CL2" s="18" t="s">
        <v>266</v>
      </c>
      <c r="CM2" s="19" t="s">
        <v>267</v>
      </c>
      <c r="CN2" s="20" t="s">
        <v>267</v>
      </c>
      <c r="CO2" s="11" t="s">
        <v>267</v>
      </c>
      <c r="CP2" s="22">
        <f>IFERROR((VLOOKUP(CJ2,Scoring!$A:$B,2,0))+IF(CL2="y",1,0)+IF(CM2="y",1,0)+IF(CN2="y",1,0)+IF(CO2="y",1,0),0)</f>
        <v>26</v>
      </c>
      <c r="CQ2" s="16">
        <v>1.0</v>
      </c>
      <c r="CR2" s="17">
        <v>2.0</v>
      </c>
      <c r="CS2" s="18" t="s">
        <v>266</v>
      </c>
      <c r="CT2" s="19" t="s">
        <v>267</v>
      </c>
      <c r="CU2" s="20" t="s">
        <v>267</v>
      </c>
      <c r="CV2" s="11" t="s">
        <v>267</v>
      </c>
      <c r="CW2" s="22">
        <f>IFERROR((VLOOKUP(CQ2,Scoring!$A:$B,2,0))+IF(CS2="y",1,0)+IF(CT2="y",1,0)+IF(CU2="y",1,0)+IF(CV2="y",1,0),0)</f>
        <v>26</v>
      </c>
      <c r="CX2" s="16">
        <v>5.0</v>
      </c>
      <c r="CY2" s="17">
        <v>1.0</v>
      </c>
      <c r="CZ2" s="18" t="s">
        <v>267</v>
      </c>
      <c r="DA2" s="19" t="s">
        <v>267</v>
      </c>
      <c r="DB2" s="20" t="s">
        <v>267</v>
      </c>
      <c r="DC2" s="11" t="s">
        <v>267</v>
      </c>
      <c r="DD2" s="22">
        <f>IFERROR((VLOOKUP(CX2,Scoring!$A:$B,2,0))+IF(CZ2="y",1,0)+IF(DA2="y",1,0)+IF(DB2="y",1,0)+IF(DC2="y",1,0),0)</f>
        <v>10</v>
      </c>
      <c r="DE2" s="16">
        <v>3.0</v>
      </c>
      <c r="DF2" s="17">
        <v>3.0</v>
      </c>
      <c r="DG2" s="18" t="s">
        <v>267</v>
      </c>
      <c r="DH2" s="19" t="s">
        <v>267</v>
      </c>
      <c r="DI2" s="20" t="s">
        <v>267</v>
      </c>
      <c r="DJ2" s="11" t="s">
        <v>267</v>
      </c>
      <c r="DK2" s="22">
        <f>IFERROR((VLOOKUP(DE2,Scoring!$A:$B,2,0))+IF(DG2="y",1,0)+IF(DH2="y",1,0)+IF(DI2="y",1,0)+IF(DJ2="y",1,0),0)</f>
        <v>15</v>
      </c>
      <c r="DL2" s="16">
        <v>2.0</v>
      </c>
      <c r="DM2" s="17">
        <v>9.0</v>
      </c>
      <c r="DN2" s="18" t="s">
        <v>267</v>
      </c>
      <c r="DO2" s="19" t="s">
        <v>266</v>
      </c>
      <c r="DP2" s="20" t="s">
        <v>267</v>
      </c>
      <c r="DQ2" s="11" t="s">
        <v>267</v>
      </c>
      <c r="DR2" s="22">
        <f>IFERROR((VLOOKUP(DL2,Scoring!$A:$B,2,0))+IF(DN2="y",1,0)+IF(DO2="y",1,0)+IF(DP2="y",1,0)+IF(DQ2="y",1,0),0)</f>
        <v>19</v>
      </c>
      <c r="DS2" s="13">
        <v>0.0</v>
      </c>
    </row>
    <row r="3">
      <c r="A3" s="14" t="s">
        <v>12</v>
      </c>
      <c r="B3" s="1" t="s">
        <v>15</v>
      </c>
      <c r="C3" s="15" t="s">
        <v>16</v>
      </c>
      <c r="D3" s="24">
        <v>10.0</v>
      </c>
      <c r="E3" s="25">
        <v>6.0</v>
      </c>
      <c r="F3" s="26" t="s">
        <v>267</v>
      </c>
      <c r="G3" s="27" t="s">
        <v>266</v>
      </c>
      <c r="H3" s="28" t="s">
        <v>266</v>
      </c>
      <c r="I3" s="29" t="s">
        <v>267</v>
      </c>
      <c r="J3" s="30">
        <f>IFERROR((VLOOKUP(D3,Scoring!$A:$B,2,0))+IF(F3="y",1,0)+IF(G3="y",1,0)+IF(H3="y",1,0)+IF(I3="y",1,0),0)</f>
        <v>4</v>
      </c>
      <c r="K3" s="24">
        <v>22.0</v>
      </c>
      <c r="L3" s="25">
        <v>22.0</v>
      </c>
      <c r="M3" s="26" t="s">
        <v>267</v>
      </c>
      <c r="N3" s="27" t="s">
        <v>267</v>
      </c>
      <c r="O3" s="28" t="s">
        <v>267</v>
      </c>
      <c r="P3" s="29" t="s">
        <v>267</v>
      </c>
      <c r="Q3" s="31">
        <f>IFERROR((VLOOKUP(K3,Scoring!$D:$E,2,0))+IF(M3="y",1,0)+IF(N3="y",1,0)+IF(O3="y",1,0)+IF(P3="y",1,0),0)</f>
        <v>0</v>
      </c>
      <c r="R3" s="24">
        <v>22.0</v>
      </c>
      <c r="S3" s="25">
        <v>22.0</v>
      </c>
      <c r="T3" s="26" t="s">
        <v>267</v>
      </c>
      <c r="U3" s="27" t="s">
        <v>267</v>
      </c>
      <c r="V3" s="28" t="s">
        <v>267</v>
      </c>
      <c r="W3" s="29" t="s">
        <v>267</v>
      </c>
      <c r="X3" s="30">
        <f>IFERROR((VLOOKUP(R3,Scoring!$A:$B,2,0))+IF(T3="y",1,0)+IF(U3="y",1,0)+IF(V3="y",1,0)+IF(W3="y",1,0),0)</f>
        <v>0</v>
      </c>
      <c r="Y3" s="24">
        <v>11.0</v>
      </c>
      <c r="Z3" s="25">
        <v>7.0</v>
      </c>
      <c r="AA3" s="26" t="s">
        <v>267</v>
      </c>
      <c r="AB3" s="27" t="s">
        <v>267</v>
      </c>
      <c r="AC3" s="28" t="s">
        <v>267</v>
      </c>
      <c r="AD3" s="29" t="s">
        <v>267</v>
      </c>
      <c r="AE3" s="30">
        <f>IFERROR((VLOOKUP(Y3,Scoring!$A:$B,2,0))+IF(AA3="y",1,0)+IF(AB3="y",1,0)+IF(AC3="y",1,0)+IF(AD3="y",1,0),0)</f>
        <v>1</v>
      </c>
      <c r="AF3" s="24">
        <v>22.0</v>
      </c>
      <c r="AG3" s="25">
        <v>22.0</v>
      </c>
      <c r="AH3" s="26" t="s">
        <v>267</v>
      </c>
      <c r="AI3" s="27" t="s">
        <v>267</v>
      </c>
      <c r="AJ3" s="28" t="s">
        <v>267</v>
      </c>
      <c r="AK3" s="32" t="s">
        <v>267</v>
      </c>
      <c r="AL3" s="30">
        <f>IFERROR((VLOOKUP(AF3,Scoring!$A:$B,2,0))+IF(AH3="y",1,0)+IF(AI3="y",1,0)+IF(AJ3="y",1,0)+IF(AK3="y",1,0),0)</f>
        <v>0</v>
      </c>
      <c r="AM3" s="24">
        <v>21.0</v>
      </c>
      <c r="AN3" s="25">
        <v>6.0</v>
      </c>
      <c r="AO3" s="26" t="s">
        <v>267</v>
      </c>
      <c r="AP3" s="27" t="s">
        <v>267</v>
      </c>
      <c r="AQ3" s="28" t="s">
        <v>267</v>
      </c>
      <c r="AR3" s="32" t="s">
        <v>267</v>
      </c>
      <c r="AS3" s="30">
        <f>IFERROR((VLOOKUP(AM3,Scoring!$A:$B,2,0))+IF(AO3="y",1,0)+IF(AP3="y",1,0)+IF(AQ3="y",1,0)+IF(AR3="y",1,0),0)</f>
        <v>0</v>
      </c>
      <c r="AT3" s="24">
        <v>7.0</v>
      </c>
      <c r="AU3" s="25">
        <v>6.0</v>
      </c>
      <c r="AV3" s="26" t="s">
        <v>267</v>
      </c>
      <c r="AW3" s="27" t="s">
        <v>267</v>
      </c>
      <c r="AX3" s="28" t="s">
        <v>267</v>
      </c>
      <c r="AY3" s="32" t="s">
        <v>267</v>
      </c>
      <c r="AZ3" s="30">
        <f>IFERROR((VLOOKUP(AT3,Scoring!$A:$B,2,0))+IF(AV3="y",1,0)+IF(AW3="y",1,0)+IF(AX3="y",1,0)+IF(AY3="y",1,0),0)</f>
        <v>6</v>
      </c>
      <c r="BA3" s="24">
        <v>6.0</v>
      </c>
      <c r="BB3" s="25">
        <v>8.0</v>
      </c>
      <c r="BC3" s="26" t="s">
        <v>267</v>
      </c>
      <c r="BD3" s="27" t="s">
        <v>267</v>
      </c>
      <c r="BE3" s="28" t="s">
        <v>267</v>
      </c>
      <c r="BF3" s="32" t="s">
        <v>267</v>
      </c>
      <c r="BG3" s="30">
        <f>IFERROR((VLOOKUP(BA3,Scoring!$D:$E,2,0))+IF(BC3="y",1,0)+IF(BD3="y",1,0)+IF(BE3="y",1,0)+IF(BF3="y",1,0),0)</f>
        <v>3</v>
      </c>
      <c r="BH3" s="24">
        <v>5.0</v>
      </c>
      <c r="BI3" s="25">
        <v>10.0</v>
      </c>
      <c r="BJ3" s="26" t="s">
        <v>267</v>
      </c>
      <c r="BK3" s="27" t="s">
        <v>267</v>
      </c>
      <c r="BL3" s="28" t="s">
        <v>267</v>
      </c>
      <c r="BM3" s="32" t="s">
        <v>267</v>
      </c>
      <c r="BN3" s="30">
        <f>IFERROR((VLOOKUP(BH3,Scoring!$A:$B,2,0))+IF(BJ3="y",1,0)+IF(BK3="y",1,0)+IF(BL3="y",1,0)+IF(BM3="y",1,0),0)</f>
        <v>10</v>
      </c>
      <c r="BO3" s="24">
        <v>8.0</v>
      </c>
      <c r="BP3" s="25">
        <v>9.0</v>
      </c>
      <c r="BQ3" s="26" t="s">
        <v>267</v>
      </c>
      <c r="BR3" s="27" t="s">
        <v>267</v>
      </c>
      <c r="BS3" s="28" t="s">
        <v>267</v>
      </c>
      <c r="BT3" s="32" t="s">
        <v>267</v>
      </c>
      <c r="BU3" s="30">
        <f>IFERROR((VLOOKUP(BO3,Scoring!$D:$E,2,0))+IF(BQ3="y",1,0)+IF(BR3="y",1,0)+IF(BS3="y",1,0)+IF(BT3="y",1,0),0)</f>
        <v>1</v>
      </c>
      <c r="BV3" s="24">
        <v>8.0</v>
      </c>
      <c r="BW3" s="25">
        <v>8.0</v>
      </c>
      <c r="BX3" s="26" t="s">
        <v>267</v>
      </c>
      <c r="BY3" s="27" t="s">
        <v>267</v>
      </c>
      <c r="BZ3" s="28" t="s">
        <v>267</v>
      </c>
      <c r="CA3" s="32" t="s">
        <v>267</v>
      </c>
      <c r="CB3" s="30">
        <f>IFERROR((VLOOKUP(BV3,Scoring!$A:$B,2,0))+IF(BX3="y",1,0)+IF(BY3="y",1,0)+IF(BZ3="y",1,0)+IF(CA3="y",1,0),0)</f>
        <v>4</v>
      </c>
      <c r="CC3" s="24">
        <v>10.0</v>
      </c>
      <c r="CD3" s="25">
        <v>22.0</v>
      </c>
      <c r="CE3" s="26" t="s">
        <v>267</v>
      </c>
      <c r="CF3" s="27" t="s">
        <v>267</v>
      </c>
      <c r="CG3" s="28" t="s">
        <v>266</v>
      </c>
      <c r="CH3" s="32" t="s">
        <v>267</v>
      </c>
      <c r="CI3" s="30">
        <f>IFERROR((VLOOKUP(CC3,Scoring!$A:$B,2,0))+IF(CE3="y",1,0)+IF(CF3="y",1,0)+IF(CG3="y",1,0)+IF(CH3="y",1,0),0)</f>
        <v>3</v>
      </c>
      <c r="CJ3" s="24">
        <v>12.0</v>
      </c>
      <c r="CK3" s="25">
        <v>6.0</v>
      </c>
      <c r="CL3" s="26" t="s">
        <v>267</v>
      </c>
      <c r="CM3" s="27" t="s">
        <v>267</v>
      </c>
      <c r="CN3" s="28" t="s">
        <v>267</v>
      </c>
      <c r="CO3" s="32" t="s">
        <v>267</v>
      </c>
      <c r="CP3" s="30">
        <f>IFERROR((VLOOKUP(CJ3,Scoring!$A:$B,2,0))+IF(CL3="y",1,0)+IF(CM3="y",1,0)+IF(CN3="y",1,0)+IF(CO3="y",1,0),0)</f>
        <v>1</v>
      </c>
      <c r="CQ3" s="24">
        <v>7.0</v>
      </c>
      <c r="CR3" s="25">
        <v>14.0</v>
      </c>
      <c r="CS3" s="26" t="s">
        <v>267</v>
      </c>
      <c r="CT3" s="27" t="s">
        <v>267</v>
      </c>
      <c r="CU3" s="28" t="s">
        <v>267</v>
      </c>
      <c r="CV3" s="32" t="s">
        <v>267</v>
      </c>
      <c r="CW3" s="30">
        <f>IFERROR((VLOOKUP(CQ3,Scoring!$A:$B,2,0))+IF(CS3="y",1,0)+IF(CT3="y",1,0)+IF(CU3="y",1,0)+IF(CV3="y",1,0),0)</f>
        <v>6</v>
      </c>
      <c r="CX3" s="24">
        <v>22.0</v>
      </c>
      <c r="CY3" s="25">
        <v>22.0</v>
      </c>
      <c r="CZ3" s="26" t="s">
        <v>267</v>
      </c>
      <c r="DA3" s="27" t="s">
        <v>267</v>
      </c>
      <c r="DB3" s="28" t="s">
        <v>267</v>
      </c>
      <c r="DC3" s="32" t="s">
        <v>267</v>
      </c>
      <c r="DD3" s="30">
        <f>IFERROR((VLOOKUP(CX3,Scoring!$A:$B,2,0))+IF(CZ3="y",1,0)+IF(DA3="y",1,0)+IF(DB3="y",1,0)+IF(DC3="y",1,0),0)</f>
        <v>0</v>
      </c>
      <c r="DE3" s="24">
        <v>5.0</v>
      </c>
      <c r="DF3" s="25">
        <v>8.0</v>
      </c>
      <c r="DG3" s="26" t="s">
        <v>267</v>
      </c>
      <c r="DH3" s="27" t="s">
        <v>267</v>
      </c>
      <c r="DI3" s="28" t="s">
        <v>267</v>
      </c>
      <c r="DJ3" s="32" t="s">
        <v>267</v>
      </c>
      <c r="DK3" s="30">
        <f>IFERROR((VLOOKUP(DE3,Scoring!$A:$B,2,0))+IF(DG3="y",1,0)+IF(DH3="y",1,0)+IF(DI3="y",1,0)+IF(DJ3="y",1,0),0)</f>
        <v>10</v>
      </c>
      <c r="DL3" s="24">
        <v>11.0</v>
      </c>
      <c r="DM3" s="25">
        <v>16.0</v>
      </c>
      <c r="DN3" s="26" t="s">
        <v>267</v>
      </c>
      <c r="DO3" s="27" t="s">
        <v>267</v>
      </c>
      <c r="DP3" s="28" t="s">
        <v>267</v>
      </c>
      <c r="DQ3" s="32" t="s">
        <v>267</v>
      </c>
      <c r="DR3" s="30">
        <f>IFERROR((VLOOKUP(DL3,Scoring!$A:$B,2,0))+IF(DN3="y",1,0)+IF(DO3="y",1,0)+IF(DP3="y",1,0)+IF(DQ3="y",1,0),0)</f>
        <v>1</v>
      </c>
      <c r="DS3" s="13">
        <v>0.0</v>
      </c>
    </row>
    <row r="4">
      <c r="A4" s="33" t="s">
        <v>17</v>
      </c>
      <c r="B4" s="34" t="s">
        <v>18</v>
      </c>
      <c r="C4" s="35" t="s">
        <v>19</v>
      </c>
      <c r="D4" s="36">
        <v>3.0</v>
      </c>
      <c r="E4" s="37">
        <v>2.0</v>
      </c>
      <c r="F4" s="38" t="s">
        <v>267</v>
      </c>
      <c r="G4" s="39" t="s">
        <v>267</v>
      </c>
      <c r="H4" s="40" t="s">
        <v>267</v>
      </c>
      <c r="I4" s="41" t="s">
        <v>267</v>
      </c>
      <c r="J4" s="42">
        <f>IFERROR((VLOOKUP(D4,Scoring!$A:$B,2,0))+IF(F4="y",1,0)+IF(G4="y",1,0)+IF(H4="y",1,0)+IF(I4="y",1,0),0)</f>
        <v>15</v>
      </c>
      <c r="K4" s="36">
        <v>4.0</v>
      </c>
      <c r="L4" s="37">
        <v>3.0</v>
      </c>
      <c r="M4" s="38" t="s">
        <v>267</v>
      </c>
      <c r="N4" s="39" t="s">
        <v>267</v>
      </c>
      <c r="O4" s="40" t="s">
        <v>267</v>
      </c>
      <c r="P4" s="41" t="s">
        <v>267</v>
      </c>
      <c r="Q4" s="43">
        <f>IFERROR((VLOOKUP(K4,Scoring!$D:$E,2,0))+IF(M4="y",1,0)+IF(N4="y",1,0)+IF(O4="y",1,0)+IF(P4="y",1,0),0)</f>
        <v>5</v>
      </c>
      <c r="R4" s="36">
        <v>1.0</v>
      </c>
      <c r="S4" s="37">
        <v>11.0</v>
      </c>
      <c r="T4" s="38" t="s">
        <v>267</v>
      </c>
      <c r="U4" s="39" t="s">
        <v>267</v>
      </c>
      <c r="V4" s="40" t="s">
        <v>266</v>
      </c>
      <c r="W4" s="41" t="s">
        <v>267</v>
      </c>
      <c r="X4" s="42">
        <f>IFERROR((VLOOKUP(R4,Scoring!$A:$B,2,0))+IF(T4="y",1,0)+IF(U4="y",1,0)+IF(V4="y",1,0)+IF(W4="y",1,0),0)</f>
        <v>26</v>
      </c>
      <c r="Y4" s="36">
        <v>10.0</v>
      </c>
      <c r="Z4" s="37">
        <v>14.0</v>
      </c>
      <c r="AA4" s="38" t="s">
        <v>267</v>
      </c>
      <c r="AB4" s="39" t="s">
        <v>267</v>
      </c>
      <c r="AC4" s="40" t="s">
        <v>266</v>
      </c>
      <c r="AD4" s="41" t="s">
        <v>266</v>
      </c>
      <c r="AE4" s="42">
        <f>IFERROR((VLOOKUP(Y4,Scoring!$A:$B,2,0))+IF(AA4="y",1,0)+IF(AB4="y",1,0)+IF(AC4="y",1,0)+IF(AD4="y",1,0),0)</f>
        <v>4</v>
      </c>
      <c r="AF4" s="36">
        <v>6.0</v>
      </c>
      <c r="AG4" s="37">
        <v>4.0</v>
      </c>
      <c r="AH4" s="38" t="s">
        <v>267</v>
      </c>
      <c r="AI4" s="39" t="s">
        <v>267</v>
      </c>
      <c r="AJ4" s="40" t="s">
        <v>267</v>
      </c>
      <c r="AK4" s="44" t="s">
        <v>266</v>
      </c>
      <c r="AL4" s="42">
        <f>IFERROR((VLOOKUP(AF4,Scoring!$A:$B,2,0))+IF(AH4="y",1,0)+IF(AI4="y",1,0)+IF(AJ4="y",1,0)+IF(AK4="y",1,0),0)</f>
        <v>9</v>
      </c>
      <c r="AM4" s="36">
        <v>3.0</v>
      </c>
      <c r="AN4" s="37">
        <v>5.0</v>
      </c>
      <c r="AO4" s="38" t="s">
        <v>267</v>
      </c>
      <c r="AP4" s="39" t="s">
        <v>267</v>
      </c>
      <c r="AQ4" s="40" t="s">
        <v>267</v>
      </c>
      <c r="AR4" s="44" t="s">
        <v>267</v>
      </c>
      <c r="AS4" s="42">
        <f>IFERROR((VLOOKUP(AM4,Scoring!$A:$B,2,0))+IF(AO4="y",1,0)+IF(AP4="y",1,0)+IF(AQ4="y",1,0)+IF(AR4="y",1,0),0)</f>
        <v>15</v>
      </c>
      <c r="AT4" s="36">
        <v>4.0</v>
      </c>
      <c r="AU4" s="37">
        <v>2.0</v>
      </c>
      <c r="AV4" s="38" t="s">
        <v>267</v>
      </c>
      <c r="AW4" s="39" t="s">
        <v>267</v>
      </c>
      <c r="AX4" s="40" t="s">
        <v>267</v>
      </c>
      <c r="AY4" s="44" t="s">
        <v>267</v>
      </c>
      <c r="AZ4" s="42">
        <f>IFERROR((VLOOKUP(AT4,Scoring!$A:$B,2,0))+IF(AV4="y",1,0)+IF(AW4="y",1,0)+IF(AX4="y",1,0)+IF(AY4="y",1,0),0)</f>
        <v>12</v>
      </c>
      <c r="BA4" s="36">
        <v>7.0</v>
      </c>
      <c r="BB4" s="37">
        <v>6.0</v>
      </c>
      <c r="BC4" s="38" t="s">
        <v>267</v>
      </c>
      <c r="BD4" s="39" t="s">
        <v>267</v>
      </c>
      <c r="BE4" s="40" t="s">
        <v>267</v>
      </c>
      <c r="BF4" s="44" t="s">
        <v>267</v>
      </c>
      <c r="BG4" s="42">
        <f>IFERROR((VLOOKUP(BA4,Scoring!$D:$E,2,0))+IF(BC4="y",1,0)+IF(BD4="y",1,0)+IF(BE4="y",1,0)+IF(BF4="y",1,0),0)</f>
        <v>2</v>
      </c>
      <c r="BH4" s="36">
        <v>1.0</v>
      </c>
      <c r="BI4" s="37">
        <v>9.0</v>
      </c>
      <c r="BJ4" s="38" t="s">
        <v>267</v>
      </c>
      <c r="BK4" s="39" t="s">
        <v>267</v>
      </c>
      <c r="BL4" s="40" t="s">
        <v>267</v>
      </c>
      <c r="BM4" s="44" t="s">
        <v>267</v>
      </c>
      <c r="BN4" s="42">
        <f>IFERROR((VLOOKUP(BH4,Scoring!$A:$B,2,0))+IF(BJ4="y",1,0)+IF(BK4="y",1,0)+IF(BL4="y",1,0)+IF(BM4="y",1,0),0)</f>
        <v>25</v>
      </c>
      <c r="BO4" s="36">
        <v>3.0</v>
      </c>
      <c r="BP4" s="37">
        <v>4.0</v>
      </c>
      <c r="BQ4" s="38" t="s">
        <v>267</v>
      </c>
      <c r="BR4" s="39" t="s">
        <v>267</v>
      </c>
      <c r="BS4" s="40" t="s">
        <v>267</v>
      </c>
      <c r="BT4" s="44" t="s">
        <v>267</v>
      </c>
      <c r="BU4" s="42">
        <f>IFERROR((VLOOKUP(BO4,Scoring!$D:$E,2,0))+IF(BQ4="y",1,0)+IF(BR4="y",1,0)+IF(BS4="y",1,0)+IF(BT4="y",1,0),0)</f>
        <v>6</v>
      </c>
      <c r="BV4" s="36">
        <v>3.0</v>
      </c>
      <c r="BW4" s="37">
        <v>12.0</v>
      </c>
      <c r="BX4" s="38" t="s">
        <v>267</v>
      </c>
      <c r="BY4" s="39" t="s">
        <v>267</v>
      </c>
      <c r="BZ4" s="40" t="s">
        <v>267</v>
      </c>
      <c r="CA4" s="44" t="s">
        <v>267</v>
      </c>
      <c r="CB4" s="42">
        <f>IFERROR((VLOOKUP(BV4,Scoring!$A:$B,2,0))+IF(BX4="y",1,0)+IF(BY4="y",1,0)+IF(BZ4="y",1,0)+IF(CA4="y",1,0),0)</f>
        <v>15</v>
      </c>
      <c r="CC4" s="36">
        <v>21.0</v>
      </c>
      <c r="CD4" s="37">
        <v>3.0</v>
      </c>
      <c r="CE4" s="38" t="s">
        <v>267</v>
      </c>
      <c r="CF4" s="39" t="s">
        <v>267</v>
      </c>
      <c r="CG4" s="40" t="s">
        <v>267</v>
      </c>
      <c r="CH4" s="44" t="s">
        <v>267</v>
      </c>
      <c r="CI4" s="42">
        <f>IFERROR((VLOOKUP(CC4,Scoring!$A:$B,2,0))+IF(CE4="y",1,0)+IF(CF4="y",1,0)+IF(CG4="y",1,0)+IF(CH4="y",1,0),0)</f>
        <v>0</v>
      </c>
      <c r="CJ4" s="36">
        <v>4.0</v>
      </c>
      <c r="CK4" s="37">
        <v>2.0</v>
      </c>
      <c r="CL4" s="38" t="s">
        <v>267</v>
      </c>
      <c r="CM4" s="39" t="s">
        <v>267</v>
      </c>
      <c r="CN4" s="40" t="s">
        <v>267</v>
      </c>
      <c r="CO4" s="44" t="s">
        <v>267</v>
      </c>
      <c r="CP4" s="42">
        <f>IFERROR((VLOOKUP(CJ4,Scoring!$A:$B,2,0))+IF(CL4="y",1,0)+IF(CM4="y",1,0)+IF(CN4="y",1,0)+IF(CO4="y",1,0),0)</f>
        <v>12</v>
      </c>
      <c r="CQ4" s="36">
        <v>4.0</v>
      </c>
      <c r="CR4" s="37">
        <v>15.0</v>
      </c>
      <c r="CS4" s="38" t="s">
        <v>267</v>
      </c>
      <c r="CT4" s="39" t="s">
        <v>266</v>
      </c>
      <c r="CU4" s="40" t="s">
        <v>266</v>
      </c>
      <c r="CV4" s="44" t="s">
        <v>267</v>
      </c>
      <c r="CW4" s="42">
        <f>IFERROR((VLOOKUP(CQ4,Scoring!$A:$B,2,0))+IF(CS4="y",1,0)+IF(CT4="y",1,0)+IF(CU4="y",1,0)+IF(CV4="y",1,0),0)</f>
        <v>14</v>
      </c>
      <c r="CX4" s="36">
        <v>3.0</v>
      </c>
      <c r="CY4" s="37">
        <v>3.0</v>
      </c>
      <c r="CZ4" s="38" t="s">
        <v>267</v>
      </c>
      <c r="DA4" s="39" t="s">
        <v>267</v>
      </c>
      <c r="DB4" s="40" t="s">
        <v>267</v>
      </c>
      <c r="DC4" s="44" t="s">
        <v>267</v>
      </c>
      <c r="DD4" s="42">
        <f>IFERROR((VLOOKUP(CX4,Scoring!$A:$B,2,0))+IF(CZ4="y",1,0)+IF(DA4="y",1,0)+IF(DB4="y",1,0)+IF(DC4="y",1,0),0)</f>
        <v>15</v>
      </c>
      <c r="DE4" s="36">
        <v>21.0</v>
      </c>
      <c r="DF4" s="37">
        <v>4.0</v>
      </c>
      <c r="DG4" s="38" t="s">
        <v>267</v>
      </c>
      <c r="DH4" s="39" t="s">
        <v>267</v>
      </c>
      <c r="DI4" s="40" t="s">
        <v>267</v>
      </c>
      <c r="DJ4" s="44" t="s">
        <v>267</v>
      </c>
      <c r="DK4" s="42">
        <f>IFERROR((VLOOKUP(DE4,Scoring!$A:$B,2,0))+IF(DG4="y",1,0)+IF(DH4="y",1,0)+IF(DI4="y",1,0)+IF(DJ4="y",1,0),0)</f>
        <v>0</v>
      </c>
      <c r="DL4" s="36">
        <v>9.0</v>
      </c>
      <c r="DM4" s="37">
        <v>2.0</v>
      </c>
      <c r="DN4" s="38" t="s">
        <v>267</v>
      </c>
      <c r="DO4" s="39" t="s">
        <v>267</v>
      </c>
      <c r="DP4" s="40" t="s">
        <v>267</v>
      </c>
      <c r="DQ4" s="44" t="s">
        <v>267</v>
      </c>
      <c r="DR4" s="42">
        <f>IFERROR((VLOOKUP(DL4,Scoring!$A:$B,2,0))+IF(DN4="y",1,0)+IF(DO4="y",1,0)+IF(DP4="y",1,0)+IF(DQ4="y",1,0),0)</f>
        <v>3</v>
      </c>
      <c r="DS4" s="13">
        <v>0.0</v>
      </c>
    </row>
    <row r="5">
      <c r="A5" s="45" t="s">
        <v>17</v>
      </c>
      <c r="B5" s="46" t="s">
        <v>20</v>
      </c>
      <c r="C5" s="47" t="s">
        <v>21</v>
      </c>
      <c r="D5" s="48">
        <v>22.0</v>
      </c>
      <c r="E5" s="49">
        <v>22.0</v>
      </c>
      <c r="F5" s="50" t="s">
        <v>267</v>
      </c>
      <c r="G5" s="51" t="s">
        <v>267</v>
      </c>
      <c r="H5" s="52" t="s">
        <v>267</v>
      </c>
      <c r="I5" s="53" t="s">
        <v>267</v>
      </c>
      <c r="J5" s="54">
        <f>IFERROR((VLOOKUP(D5,Scoring!$A:$B,2,0))+IF(F5="y",1,0)+IF(G5="y",1,0)+IF(H5="y",1,0)+IF(I5="y",1,0),0)</f>
        <v>0</v>
      </c>
      <c r="K5" s="48">
        <v>7.0</v>
      </c>
      <c r="L5" s="49">
        <v>9.0</v>
      </c>
      <c r="M5" s="50" t="s">
        <v>267</v>
      </c>
      <c r="N5" s="51" t="s">
        <v>267</v>
      </c>
      <c r="O5" s="52" t="s">
        <v>267</v>
      </c>
      <c r="P5" s="53" t="s">
        <v>267</v>
      </c>
      <c r="Q5" s="55">
        <f>IFERROR((VLOOKUP(K5,Scoring!$D:$E,2,0))+IF(M5="y",1,0)+IF(N5="y",1,0)+IF(O5="y",1,0)+IF(P5="y",1,0),0)</f>
        <v>2</v>
      </c>
      <c r="R5" s="48">
        <v>5.0</v>
      </c>
      <c r="S5" s="49">
        <v>8.0</v>
      </c>
      <c r="T5" s="50" t="s">
        <v>267</v>
      </c>
      <c r="U5" s="51" t="s">
        <v>267</v>
      </c>
      <c r="V5" s="52" t="s">
        <v>267</v>
      </c>
      <c r="W5" s="53" t="s">
        <v>267</v>
      </c>
      <c r="X5" s="54">
        <f>IFERROR((VLOOKUP(R5,Scoring!$A:$B,2,0))+IF(T5="y",1,0)+IF(U5="y",1,0)+IF(V5="y",1,0)+IF(W5="y",1,0),0)</f>
        <v>10</v>
      </c>
      <c r="Y5" s="48">
        <v>13.0</v>
      </c>
      <c r="Z5" s="49">
        <v>13.0</v>
      </c>
      <c r="AA5" s="50" t="s">
        <v>267</v>
      </c>
      <c r="AB5" s="51" t="s">
        <v>267</v>
      </c>
      <c r="AC5" s="52" t="s">
        <v>267</v>
      </c>
      <c r="AD5" s="53" t="s">
        <v>267</v>
      </c>
      <c r="AE5" s="54">
        <f>IFERROR((VLOOKUP(Y5,Scoring!$A:$B,2,0))+IF(AA5="y",1,0)+IF(AB5="y",1,0)+IF(AC5="y",1,0)+IF(AD5="y",1,0),0)</f>
        <v>1</v>
      </c>
      <c r="AF5" s="48">
        <v>10.0</v>
      </c>
      <c r="AG5" s="49">
        <v>11.0</v>
      </c>
      <c r="AH5" s="50" t="s">
        <v>267</v>
      </c>
      <c r="AI5" s="51" t="s">
        <v>267</v>
      </c>
      <c r="AJ5" s="52" t="s">
        <v>267</v>
      </c>
      <c r="AK5" s="56" t="s">
        <v>267</v>
      </c>
      <c r="AL5" s="54">
        <f>IFERROR((VLOOKUP(AF5,Scoring!$A:$B,2,0))+IF(AH5="y",1,0)+IF(AI5="y",1,0)+IF(AJ5="y",1,0)+IF(AK5="y",1,0),0)</f>
        <v>2</v>
      </c>
      <c r="AM5" s="48">
        <v>21.0</v>
      </c>
      <c r="AN5" s="49">
        <v>9.0</v>
      </c>
      <c r="AO5" s="50" t="s">
        <v>267</v>
      </c>
      <c r="AP5" s="51" t="s">
        <v>267</v>
      </c>
      <c r="AQ5" s="52" t="s">
        <v>267</v>
      </c>
      <c r="AR5" s="56" t="s">
        <v>267</v>
      </c>
      <c r="AS5" s="54">
        <f>IFERROR((VLOOKUP(AM5,Scoring!$A:$B,2,0))+IF(AO5="y",1,0)+IF(AP5="y",1,0)+IF(AQ5="y",1,0)+IF(AR5="y",1,0),0)</f>
        <v>0</v>
      </c>
      <c r="AT5" s="48">
        <v>22.0</v>
      </c>
      <c r="AU5" s="49">
        <v>22.0</v>
      </c>
      <c r="AV5" s="50" t="s">
        <v>267</v>
      </c>
      <c r="AW5" s="51" t="s">
        <v>267</v>
      </c>
      <c r="AX5" s="52" t="s">
        <v>267</v>
      </c>
      <c r="AY5" s="56" t="s">
        <v>267</v>
      </c>
      <c r="AZ5" s="54">
        <f>IFERROR((VLOOKUP(AT5,Scoring!$A:$B,2,0))+IF(AV5="y",1,0)+IF(AW5="y",1,0)+IF(AX5="y",1,0)+IF(AY5="y",1,0),0)</f>
        <v>0</v>
      </c>
      <c r="BA5" s="48">
        <v>22.0</v>
      </c>
      <c r="BB5" s="49">
        <v>22.0</v>
      </c>
      <c r="BC5" s="50" t="s">
        <v>267</v>
      </c>
      <c r="BD5" s="51" t="s">
        <v>267</v>
      </c>
      <c r="BE5" s="52" t="s">
        <v>267</v>
      </c>
      <c r="BF5" s="56" t="s">
        <v>267</v>
      </c>
      <c r="BG5" s="54">
        <f>IFERROR((VLOOKUP(BA5,Scoring!$D:$E,2,0))+IF(BC5="y",1,0)+IF(BD5="y",1,0)+IF(BE5="y",1,0)+IF(BF5="y",1,0),0)</f>
        <v>0</v>
      </c>
      <c r="BH5" s="48">
        <v>22.0</v>
      </c>
      <c r="BI5" s="49">
        <v>22.0</v>
      </c>
      <c r="BJ5" s="50" t="s">
        <v>267</v>
      </c>
      <c r="BK5" s="51" t="s">
        <v>267</v>
      </c>
      <c r="BL5" s="52" t="s">
        <v>267</v>
      </c>
      <c r="BM5" s="56" t="s">
        <v>267</v>
      </c>
      <c r="BN5" s="54">
        <f>IFERROR((VLOOKUP(BH5,Scoring!$A:$B,2,0))+IF(BJ5="y",1,0)+IF(BK5="y",1,0)+IF(BL5="y",1,0)+IF(BM5="y",1,0),0)</f>
        <v>0</v>
      </c>
      <c r="BO5" s="48">
        <v>22.0</v>
      </c>
      <c r="BP5" s="49">
        <v>22.0</v>
      </c>
      <c r="BQ5" s="50" t="s">
        <v>267</v>
      </c>
      <c r="BR5" s="51" t="s">
        <v>267</v>
      </c>
      <c r="BS5" s="52" t="s">
        <v>267</v>
      </c>
      <c r="BT5" s="56" t="s">
        <v>267</v>
      </c>
      <c r="BU5" s="54">
        <f>IFERROR((VLOOKUP(BO5,Scoring!$D:$E,2,0))+IF(BQ5="y",1,0)+IF(BR5="y",1,0)+IF(BS5="y",1,0)+IF(BT5="y",1,0),0)</f>
        <v>0</v>
      </c>
      <c r="BV5" s="48">
        <v>22.0</v>
      </c>
      <c r="BW5" s="49">
        <v>22.0</v>
      </c>
      <c r="BX5" s="50" t="s">
        <v>267</v>
      </c>
      <c r="BY5" s="51" t="s">
        <v>267</v>
      </c>
      <c r="BZ5" s="52" t="s">
        <v>267</v>
      </c>
      <c r="CA5" s="56" t="s">
        <v>267</v>
      </c>
      <c r="CB5" s="54">
        <f>IFERROR((VLOOKUP(BV5,Scoring!$A:$B,2,0))+IF(BX5="y",1,0)+IF(BY5="y",1,0)+IF(BZ5="y",1,0)+IF(CA5="y",1,0),0)</f>
        <v>0</v>
      </c>
      <c r="CC5" s="48">
        <v>22.0</v>
      </c>
      <c r="CD5" s="49">
        <v>22.0</v>
      </c>
      <c r="CE5" s="50" t="s">
        <v>267</v>
      </c>
      <c r="CF5" s="51" t="s">
        <v>267</v>
      </c>
      <c r="CG5" s="52" t="s">
        <v>267</v>
      </c>
      <c r="CH5" s="56" t="s">
        <v>267</v>
      </c>
      <c r="CI5" s="54">
        <f>IFERROR((VLOOKUP(CC5,Scoring!$A:$B,2,0))+IF(CE5="y",1,0)+IF(CF5="y",1,0)+IF(CG5="y",1,0)+IF(CH5="y",1,0),0)</f>
        <v>0</v>
      </c>
      <c r="CJ5" s="48">
        <v>22.0</v>
      </c>
      <c r="CK5" s="49">
        <v>22.0</v>
      </c>
      <c r="CL5" s="50" t="s">
        <v>267</v>
      </c>
      <c r="CM5" s="51" t="s">
        <v>267</v>
      </c>
      <c r="CN5" s="52" t="s">
        <v>267</v>
      </c>
      <c r="CO5" s="56" t="s">
        <v>267</v>
      </c>
      <c r="CP5" s="54">
        <f>IFERROR((VLOOKUP(CJ5,Scoring!$A:$B,2,0))+IF(CL5="y",1,0)+IF(CM5="y",1,0)+IF(CN5="y",1,0)+IF(CO5="y",1,0),0)</f>
        <v>0</v>
      </c>
      <c r="CQ5" s="48">
        <v>22.0</v>
      </c>
      <c r="CR5" s="49">
        <v>22.0</v>
      </c>
      <c r="CS5" s="50" t="s">
        <v>267</v>
      </c>
      <c r="CT5" s="51" t="s">
        <v>267</v>
      </c>
      <c r="CU5" s="52" t="s">
        <v>267</v>
      </c>
      <c r="CV5" s="56" t="s">
        <v>267</v>
      </c>
      <c r="CW5" s="54">
        <f>IFERROR((VLOOKUP(CQ5,Scoring!$A:$B,2,0))+IF(CS5="y",1,0)+IF(CT5="y",1,0)+IF(CU5="y",1,0)+IF(CV5="y",1,0),0)</f>
        <v>0</v>
      </c>
      <c r="CX5" s="48">
        <v>22.0</v>
      </c>
      <c r="CY5" s="49">
        <v>22.0</v>
      </c>
      <c r="CZ5" s="50" t="s">
        <v>267</v>
      </c>
      <c r="DA5" s="51" t="s">
        <v>267</v>
      </c>
      <c r="DB5" s="52" t="s">
        <v>267</v>
      </c>
      <c r="DC5" s="56" t="s">
        <v>267</v>
      </c>
      <c r="DD5" s="54">
        <f>IFERROR((VLOOKUP(CX5,Scoring!$A:$B,2,0))+IF(CZ5="y",1,0)+IF(DA5="y",1,0)+IF(DB5="y",1,0)+IF(DC5="y",1,0),0)</f>
        <v>0</v>
      </c>
      <c r="DE5" s="48">
        <v>22.0</v>
      </c>
      <c r="DF5" s="49">
        <v>22.0</v>
      </c>
      <c r="DG5" s="50" t="s">
        <v>267</v>
      </c>
      <c r="DH5" s="51" t="s">
        <v>267</v>
      </c>
      <c r="DI5" s="52" t="s">
        <v>267</v>
      </c>
      <c r="DJ5" s="56" t="s">
        <v>267</v>
      </c>
      <c r="DK5" s="54">
        <f>IFERROR((VLOOKUP(DE5,Scoring!$A:$B,2,0))+IF(DG5="y",1,0)+IF(DH5="y",1,0)+IF(DI5="y",1,0)+IF(DJ5="y",1,0),0)</f>
        <v>0</v>
      </c>
      <c r="DL5" s="48">
        <v>22.0</v>
      </c>
      <c r="DM5" s="49">
        <v>22.0</v>
      </c>
      <c r="DN5" s="50" t="s">
        <v>267</v>
      </c>
      <c r="DO5" s="51" t="s">
        <v>267</v>
      </c>
      <c r="DP5" s="52" t="s">
        <v>267</v>
      </c>
      <c r="DQ5" s="56" t="s">
        <v>267</v>
      </c>
      <c r="DR5" s="54">
        <f>IFERROR((VLOOKUP(DL5,Scoring!$A:$B,2,0))+IF(DN5="y",1,0)+IF(DO5="y",1,0)+IF(DP5="y",1,0)+IF(DQ5="y",1,0),0)</f>
        <v>0</v>
      </c>
      <c r="DS5" s="13">
        <v>0.0</v>
      </c>
    </row>
    <row r="6">
      <c r="A6" s="14" t="s">
        <v>22</v>
      </c>
      <c r="B6" s="1" t="s">
        <v>23</v>
      </c>
      <c r="C6" s="15" t="s">
        <v>24</v>
      </c>
      <c r="D6" s="24">
        <v>1.0</v>
      </c>
      <c r="E6" s="25">
        <v>4.0</v>
      </c>
      <c r="F6" s="26" t="s">
        <v>267</v>
      </c>
      <c r="G6" s="27" t="s">
        <v>267</v>
      </c>
      <c r="H6" s="28" t="s">
        <v>267</v>
      </c>
      <c r="I6" s="29" t="s">
        <v>267</v>
      </c>
      <c r="J6" s="30">
        <f>IFERROR((VLOOKUP(D6,Scoring!$A:$B,2,0))+IF(F6="y",1,0)+IF(G6="y",1,0)+IF(H6="y",1,0)+IF(I6="y",1,0),0)</f>
        <v>25</v>
      </c>
      <c r="K6" s="24">
        <v>3.0</v>
      </c>
      <c r="L6" s="25">
        <v>5.0</v>
      </c>
      <c r="M6" s="26" t="s">
        <v>267</v>
      </c>
      <c r="N6" s="27" t="s">
        <v>267</v>
      </c>
      <c r="O6" s="28" t="s">
        <v>267</v>
      </c>
      <c r="P6" s="29" t="s">
        <v>267</v>
      </c>
      <c r="Q6" s="31">
        <f>IFERROR((VLOOKUP(K6,Scoring!$D:$E,2,0))+IF(M6="y",1,0)+IF(N6="y",1,0)+IF(O6="y",1,0)+IF(P6="y",1,0),0)</f>
        <v>6</v>
      </c>
      <c r="R6" s="24">
        <v>9.0</v>
      </c>
      <c r="S6" s="25">
        <v>12.0</v>
      </c>
      <c r="T6" s="26" t="s">
        <v>266</v>
      </c>
      <c r="U6" s="27" t="s">
        <v>267</v>
      </c>
      <c r="V6" s="28" t="s">
        <v>267</v>
      </c>
      <c r="W6" s="29" t="s">
        <v>266</v>
      </c>
      <c r="X6" s="30">
        <f>IFERROR((VLOOKUP(R6,Scoring!$A:$B,2,0))+IF(T6="y",1,0)+IF(U6="y",1,0)+IF(V6="y",1,0)+IF(W6="y",1,0),0)</f>
        <v>5</v>
      </c>
      <c r="Y6" s="24">
        <v>3.0</v>
      </c>
      <c r="Z6" s="25">
        <v>6.0</v>
      </c>
      <c r="AA6" s="26" t="s">
        <v>267</v>
      </c>
      <c r="AB6" s="27" t="s">
        <v>267</v>
      </c>
      <c r="AC6" s="28" t="s">
        <v>267</v>
      </c>
      <c r="AD6" s="29" t="s">
        <v>267</v>
      </c>
      <c r="AE6" s="30">
        <f>IFERROR((VLOOKUP(Y6,Scoring!$A:$B,2,0))+IF(AA6="y",1,0)+IF(AB6="y",1,0)+IF(AC6="y",1,0)+IF(AD6="y",1,0),0)</f>
        <v>15</v>
      </c>
      <c r="AF6" s="24">
        <v>4.0</v>
      </c>
      <c r="AG6" s="25">
        <v>6.0</v>
      </c>
      <c r="AH6" s="26" t="s">
        <v>267</v>
      </c>
      <c r="AI6" s="27" t="s">
        <v>267</v>
      </c>
      <c r="AJ6" s="28" t="s">
        <v>267</v>
      </c>
      <c r="AK6" s="32" t="s">
        <v>267</v>
      </c>
      <c r="AL6" s="30">
        <f>IFERROR((VLOOKUP(AF6,Scoring!$A:$B,2,0))+IF(AH6="y",1,0)+IF(AI6="y",1,0)+IF(AJ6="y",1,0)+IF(AK6="y",1,0),0)</f>
        <v>12</v>
      </c>
      <c r="AM6" s="24">
        <v>21.0</v>
      </c>
      <c r="AN6" s="25">
        <v>4.0</v>
      </c>
      <c r="AO6" s="26" t="s">
        <v>267</v>
      </c>
      <c r="AP6" s="27" t="s">
        <v>267</v>
      </c>
      <c r="AQ6" s="28" t="s">
        <v>267</v>
      </c>
      <c r="AR6" s="32" t="s">
        <v>267</v>
      </c>
      <c r="AS6" s="30">
        <f>IFERROR((VLOOKUP(AM6,Scoring!$A:$B,2,0))+IF(AO6="y",1,0)+IF(AP6="y",1,0)+IF(AQ6="y",1,0)+IF(AR6="y",1,0),0)</f>
        <v>0</v>
      </c>
      <c r="AT6" s="24">
        <v>3.0</v>
      </c>
      <c r="AU6" s="25">
        <v>7.0</v>
      </c>
      <c r="AV6" s="26" t="s">
        <v>267</v>
      </c>
      <c r="AW6" s="27" t="s">
        <v>266</v>
      </c>
      <c r="AX6" s="28" t="s">
        <v>266</v>
      </c>
      <c r="AY6" s="32" t="s">
        <v>266</v>
      </c>
      <c r="AZ6" s="30">
        <f>IFERROR((VLOOKUP(AT6,Scoring!$A:$B,2,0))+IF(AV6="y",1,0)+IF(AW6="y",1,0)+IF(AX6="y",1,0)+IF(AY6="y",1,0),0)</f>
        <v>18</v>
      </c>
      <c r="BA6" s="24">
        <v>3.0</v>
      </c>
      <c r="BB6" s="25">
        <v>4.0</v>
      </c>
      <c r="BC6" s="26" t="s">
        <v>267</v>
      </c>
      <c r="BD6" s="27" t="s">
        <v>267</v>
      </c>
      <c r="BE6" s="28" t="s">
        <v>267</v>
      </c>
      <c r="BF6" s="32" t="s">
        <v>267</v>
      </c>
      <c r="BG6" s="30">
        <f>IFERROR((VLOOKUP(BA6,Scoring!$D:$E,2,0))+IF(BC6="y",1,0)+IF(BD6="y",1,0)+IF(BE6="y",1,0)+IF(BF6="y",1,0),0)</f>
        <v>6</v>
      </c>
      <c r="BH6" s="24">
        <v>3.0</v>
      </c>
      <c r="BI6" s="25">
        <v>13.0</v>
      </c>
      <c r="BJ6" s="26" t="s">
        <v>267</v>
      </c>
      <c r="BK6" s="27" t="s">
        <v>267</v>
      </c>
      <c r="BL6" s="28" t="s">
        <v>267</v>
      </c>
      <c r="BM6" s="32" t="s">
        <v>266</v>
      </c>
      <c r="BN6" s="30">
        <f>IFERROR((VLOOKUP(BH6,Scoring!$A:$B,2,0))+IF(BJ6="y",1,0)+IF(BK6="y",1,0)+IF(BL6="y",1,0)+IF(BM6="y",1,0),0)</f>
        <v>16</v>
      </c>
      <c r="BO6" s="24">
        <v>4.0</v>
      </c>
      <c r="BP6" s="25">
        <v>5.0</v>
      </c>
      <c r="BQ6" s="26" t="s">
        <v>267</v>
      </c>
      <c r="BR6" s="27" t="s">
        <v>267</v>
      </c>
      <c r="BS6" s="28" t="s">
        <v>267</v>
      </c>
      <c r="BT6" s="32" t="s">
        <v>267</v>
      </c>
      <c r="BU6" s="30">
        <f>IFERROR((VLOOKUP(BO6,Scoring!$D:$E,2,0))+IF(BQ6="y",1,0)+IF(BR6="y",1,0)+IF(BS6="y",1,0)+IF(BT6="y",1,0),0)</f>
        <v>5</v>
      </c>
      <c r="BV6" s="24">
        <v>4.0</v>
      </c>
      <c r="BW6" s="25">
        <v>11.0</v>
      </c>
      <c r="BX6" s="26" t="s">
        <v>267</v>
      </c>
      <c r="BY6" s="27" t="s">
        <v>267</v>
      </c>
      <c r="BZ6" s="28" t="s">
        <v>267</v>
      </c>
      <c r="CA6" s="32" t="s">
        <v>267</v>
      </c>
      <c r="CB6" s="30">
        <f>IFERROR((VLOOKUP(BV6,Scoring!$A:$B,2,0))+IF(BX6="y",1,0)+IF(BY6="y",1,0)+IF(BZ6="y",1,0)+IF(CA6="y",1,0),0)</f>
        <v>12</v>
      </c>
      <c r="CC6" s="24">
        <v>1.0</v>
      </c>
      <c r="CD6" s="25">
        <v>6.0</v>
      </c>
      <c r="CE6" s="26" t="s">
        <v>267</v>
      </c>
      <c r="CF6" s="27" t="s">
        <v>267</v>
      </c>
      <c r="CG6" s="28" t="s">
        <v>267</v>
      </c>
      <c r="CH6" s="32" t="s">
        <v>266</v>
      </c>
      <c r="CI6" s="30">
        <f>IFERROR((VLOOKUP(CC6,Scoring!$A:$B,2,0))+IF(CE6="y",1,0)+IF(CF6="y",1,0)+IF(CG6="y",1,0)+IF(CH6="y",1,0),0)</f>
        <v>26</v>
      </c>
      <c r="CJ6" s="24">
        <v>2.0</v>
      </c>
      <c r="CK6" s="25">
        <v>3.0</v>
      </c>
      <c r="CL6" s="26" t="s">
        <v>267</v>
      </c>
      <c r="CM6" s="27" t="s">
        <v>267</v>
      </c>
      <c r="CN6" s="28" t="s">
        <v>267</v>
      </c>
      <c r="CO6" s="32" t="s">
        <v>267</v>
      </c>
      <c r="CP6" s="30">
        <f>IFERROR((VLOOKUP(CJ6,Scoring!$A:$B,2,0))+IF(CL6="y",1,0)+IF(CM6="y",1,0)+IF(CN6="y",1,0)+IF(CO6="y",1,0),0)</f>
        <v>18</v>
      </c>
      <c r="CQ6" s="24">
        <v>2.0</v>
      </c>
      <c r="CR6" s="25">
        <v>5.0</v>
      </c>
      <c r="CS6" s="26" t="s">
        <v>267</v>
      </c>
      <c r="CT6" s="27" t="s">
        <v>267</v>
      </c>
      <c r="CU6" s="28" t="s">
        <v>267</v>
      </c>
      <c r="CV6" s="32" t="s">
        <v>266</v>
      </c>
      <c r="CW6" s="30">
        <f>IFERROR((VLOOKUP(CQ6,Scoring!$A:$B,2,0))+IF(CS6="y",1,0)+IF(CT6="y",1,0)+IF(CU6="y",1,0)+IF(CV6="y",1,0),0)</f>
        <v>19</v>
      </c>
      <c r="CX6" s="24">
        <v>2.0</v>
      </c>
      <c r="CY6" s="25">
        <v>4.0</v>
      </c>
      <c r="CZ6" s="26" t="s">
        <v>267</v>
      </c>
      <c r="DA6" s="27" t="s">
        <v>266</v>
      </c>
      <c r="DB6" s="28" t="s">
        <v>267</v>
      </c>
      <c r="DC6" s="32" t="s">
        <v>266</v>
      </c>
      <c r="DD6" s="30">
        <f>IFERROR((VLOOKUP(CX6,Scoring!$A:$B,2,0))+IF(CZ6="y",1,0)+IF(DA6="y",1,0)+IF(DB6="y",1,0)+IF(DC6="y",1,0),0)</f>
        <v>20</v>
      </c>
      <c r="DE6" s="24">
        <v>21.0</v>
      </c>
      <c r="DF6" s="25">
        <v>7.0</v>
      </c>
      <c r="DG6" s="26" t="s">
        <v>267</v>
      </c>
      <c r="DH6" s="27" t="s">
        <v>267</v>
      </c>
      <c r="DI6" s="28" t="s">
        <v>267</v>
      </c>
      <c r="DJ6" s="32" t="s">
        <v>267</v>
      </c>
      <c r="DK6" s="30">
        <f>IFERROR((VLOOKUP(DE6,Scoring!$A:$B,2,0))+IF(DG6="y",1,0)+IF(DH6="y",1,0)+IF(DI6="y",1,0)+IF(DJ6="y",1,0),0)</f>
        <v>0</v>
      </c>
      <c r="DL6" s="24">
        <v>4.0</v>
      </c>
      <c r="DM6" s="25">
        <v>5.0</v>
      </c>
      <c r="DN6" s="26" t="s">
        <v>267</v>
      </c>
      <c r="DO6" s="27" t="s">
        <v>267</v>
      </c>
      <c r="DP6" s="28" t="s">
        <v>267</v>
      </c>
      <c r="DQ6" s="32" t="s">
        <v>267</v>
      </c>
      <c r="DR6" s="30">
        <f>IFERROR((VLOOKUP(DL6,Scoring!$A:$B,2,0))+IF(DN6="y",1,0)+IF(DO6="y",1,0)+IF(DP6="y",1,0)+IF(DQ6="y",1,0),0)</f>
        <v>12</v>
      </c>
      <c r="DS6" s="13">
        <v>0.0</v>
      </c>
    </row>
    <row r="7">
      <c r="A7" s="14" t="s">
        <v>22</v>
      </c>
      <c r="B7" s="1" t="s">
        <v>268</v>
      </c>
      <c r="C7" s="15" t="s">
        <v>26</v>
      </c>
      <c r="D7" s="24">
        <v>9.0</v>
      </c>
      <c r="E7" s="25">
        <v>7.0</v>
      </c>
      <c r="F7" s="26" t="s">
        <v>267</v>
      </c>
      <c r="G7" s="27" t="s">
        <v>267</v>
      </c>
      <c r="H7" s="28" t="s">
        <v>267</v>
      </c>
      <c r="I7" s="29" t="s">
        <v>267</v>
      </c>
      <c r="J7" s="30">
        <f>IFERROR((VLOOKUP(D7,Scoring!$A:$B,2,0))+IF(F7="y",1,0)+IF(G7="y",1,0)+IF(H7="y",1,0)+IF(I7="y",1,0),0)</f>
        <v>3</v>
      </c>
      <c r="K7" s="24">
        <v>6.0</v>
      </c>
      <c r="L7" s="25">
        <v>7.0</v>
      </c>
      <c r="M7" s="26" t="s">
        <v>267</v>
      </c>
      <c r="N7" s="27" t="s">
        <v>267</v>
      </c>
      <c r="O7" s="28" t="s">
        <v>267</v>
      </c>
      <c r="P7" s="29" t="s">
        <v>267</v>
      </c>
      <c r="Q7" s="31">
        <f>IFERROR((VLOOKUP(K7,Scoring!$D:$E,2,0))+IF(M7="y",1,0)+IF(N7="y",1,0)+IF(O7="y",1,0)+IF(P7="y",1,0),0)</f>
        <v>3</v>
      </c>
      <c r="R7" s="24">
        <v>21.0</v>
      </c>
      <c r="S7" s="25">
        <v>9.0</v>
      </c>
      <c r="T7" s="26" t="s">
        <v>267</v>
      </c>
      <c r="U7" s="27" t="s">
        <v>267</v>
      </c>
      <c r="V7" s="28" t="s">
        <v>267</v>
      </c>
      <c r="W7" s="29" t="s">
        <v>267</v>
      </c>
      <c r="X7" s="30">
        <f>IFERROR((VLOOKUP(R7,Scoring!$A:$B,2,0))+IF(T7="y",1,0)+IF(U7="y",1,0)+IF(V7="y",1,0)+IF(W7="y",1,0),0)</f>
        <v>0</v>
      </c>
      <c r="Y7" s="24">
        <v>5.0</v>
      </c>
      <c r="Z7" s="25">
        <v>3.0</v>
      </c>
      <c r="AA7" s="26" t="s">
        <v>267</v>
      </c>
      <c r="AB7" s="27" t="s">
        <v>267</v>
      </c>
      <c r="AC7" s="28" t="s">
        <v>267</v>
      </c>
      <c r="AD7" s="29" t="s">
        <v>267</v>
      </c>
      <c r="AE7" s="30">
        <f>IFERROR((VLOOKUP(Y7,Scoring!$A:$B,2,0))+IF(AA7="y",1,0)+IF(AB7="y",1,0)+IF(AC7="y",1,0)+IF(AD7="y",1,0),0)</f>
        <v>10</v>
      </c>
      <c r="AF7" s="24">
        <v>3.0</v>
      </c>
      <c r="AG7" s="25">
        <v>3.0</v>
      </c>
      <c r="AH7" s="26" t="s">
        <v>267</v>
      </c>
      <c r="AI7" s="27" t="s">
        <v>267</v>
      </c>
      <c r="AJ7" s="28" t="s">
        <v>267</v>
      </c>
      <c r="AK7" s="32" t="s">
        <v>267</v>
      </c>
      <c r="AL7" s="30">
        <f>IFERROR((VLOOKUP(AF7,Scoring!$A:$B,2,0))+IF(AH7="y",1,0)+IF(AI7="y",1,0)+IF(AJ7="y",1,0)+IF(AK7="y",1,0),0)</f>
        <v>15</v>
      </c>
      <c r="AM7" s="24">
        <v>5.0</v>
      </c>
      <c r="AN7" s="25">
        <v>15.0</v>
      </c>
      <c r="AO7" s="26" t="s">
        <v>267</v>
      </c>
      <c r="AP7" s="27" t="s">
        <v>266</v>
      </c>
      <c r="AQ7" s="28" t="s">
        <v>266</v>
      </c>
      <c r="AR7" s="32" t="s">
        <v>267</v>
      </c>
      <c r="AS7" s="30">
        <f>IFERROR((VLOOKUP(AM7,Scoring!$A:$B,2,0))+IF(AO7="y",1,0)+IF(AP7="y",1,0)+IF(AQ7="y",1,0)+IF(AR7="y",1,0),0)</f>
        <v>12</v>
      </c>
      <c r="AT7" s="24">
        <v>21.0</v>
      </c>
      <c r="AU7" s="25">
        <v>5.0</v>
      </c>
      <c r="AV7" s="26" t="s">
        <v>267</v>
      </c>
      <c r="AW7" s="27" t="s">
        <v>267</v>
      </c>
      <c r="AX7" s="28" t="s">
        <v>267</v>
      </c>
      <c r="AY7" s="32" t="s">
        <v>267</v>
      </c>
      <c r="AZ7" s="30">
        <f>IFERROR((VLOOKUP(AT7,Scoring!$A:$B,2,0))+IF(AV7="y",1,0)+IF(AW7="y",1,0)+IF(AX7="y",1,0)+IF(AY7="y",1,0),0)</f>
        <v>0</v>
      </c>
      <c r="BA7" s="24">
        <v>5.0</v>
      </c>
      <c r="BB7" s="25">
        <v>5.0</v>
      </c>
      <c r="BC7" s="26" t="s">
        <v>267</v>
      </c>
      <c r="BD7" s="27" t="s">
        <v>267</v>
      </c>
      <c r="BE7" s="28" t="s">
        <v>267</v>
      </c>
      <c r="BF7" s="32" t="s">
        <v>267</v>
      </c>
      <c r="BG7" s="30">
        <f>IFERROR((VLOOKUP(BA7,Scoring!$D:$E,2,0))+IF(BC7="y",1,0)+IF(BD7="y",1,0)+IF(BE7="y",1,0)+IF(BF7="y",1,0),0)</f>
        <v>4</v>
      </c>
      <c r="BH7" s="24">
        <v>2.0</v>
      </c>
      <c r="BI7" s="25">
        <v>11.0</v>
      </c>
      <c r="BJ7" s="26" t="s">
        <v>267</v>
      </c>
      <c r="BK7" s="27" t="s">
        <v>267</v>
      </c>
      <c r="BL7" s="28" t="s">
        <v>266</v>
      </c>
      <c r="BM7" s="32" t="s">
        <v>267</v>
      </c>
      <c r="BN7" s="30">
        <f>IFERROR((VLOOKUP(BH7,Scoring!$A:$B,2,0))+IF(BJ7="y",1,0)+IF(BK7="y",1,0)+IF(BL7="y",1,0)+IF(BM7="y",1,0),0)</f>
        <v>19</v>
      </c>
      <c r="BO7" s="24">
        <v>5.0</v>
      </c>
      <c r="BP7" s="25">
        <v>6.0</v>
      </c>
      <c r="BQ7" s="26" t="s">
        <v>267</v>
      </c>
      <c r="BR7" s="27" t="s">
        <v>267</v>
      </c>
      <c r="BS7" s="28" t="s">
        <v>267</v>
      </c>
      <c r="BT7" s="32" t="s">
        <v>267</v>
      </c>
      <c r="BU7" s="30">
        <f>IFERROR((VLOOKUP(BO7,Scoring!$D:$E,2,0))+IF(BQ7="y",1,0)+IF(BR7="y",1,0)+IF(BS7="y",1,0)+IF(BT7="y",1,0),0)</f>
        <v>4</v>
      </c>
      <c r="BV7" s="24">
        <v>6.0</v>
      </c>
      <c r="BW7" s="25">
        <v>10.0</v>
      </c>
      <c r="BX7" s="26" t="s">
        <v>267</v>
      </c>
      <c r="BY7" s="27" t="s">
        <v>267</v>
      </c>
      <c r="BZ7" s="28" t="s">
        <v>267</v>
      </c>
      <c r="CA7" s="32" t="s">
        <v>267</v>
      </c>
      <c r="CB7" s="30">
        <f>IFERROR((VLOOKUP(BV7,Scoring!$A:$B,2,0))+IF(BX7="y",1,0)+IF(BY7="y",1,0)+IF(BZ7="y",1,0)+IF(CA7="y",1,0),0)</f>
        <v>8</v>
      </c>
      <c r="CC7" s="24">
        <v>8.0</v>
      </c>
      <c r="CD7" s="25">
        <v>4.0</v>
      </c>
      <c r="CE7" s="26" t="s">
        <v>267</v>
      </c>
      <c r="CF7" s="27" t="s">
        <v>267</v>
      </c>
      <c r="CG7" s="28" t="s">
        <v>267</v>
      </c>
      <c r="CH7" s="32" t="s">
        <v>267</v>
      </c>
      <c r="CI7" s="30">
        <f>IFERROR((VLOOKUP(CC7,Scoring!$A:$B,2,0))+IF(CE7="y",1,0)+IF(CF7="y",1,0)+IF(CG7="y",1,0)+IF(CH7="y",1,0),0)</f>
        <v>4</v>
      </c>
      <c r="CJ7" s="24">
        <v>5.0</v>
      </c>
      <c r="CK7" s="25">
        <v>8.0</v>
      </c>
      <c r="CL7" s="26" t="s">
        <v>267</v>
      </c>
      <c r="CM7" s="27" t="s">
        <v>267</v>
      </c>
      <c r="CN7" s="28" t="s">
        <v>267</v>
      </c>
      <c r="CO7" s="32" t="s">
        <v>267</v>
      </c>
      <c r="CP7" s="30">
        <f>IFERROR((VLOOKUP(CJ7,Scoring!$A:$B,2,0))+IF(CL7="y",1,0)+IF(CM7="y",1,0)+IF(CN7="y",1,0)+IF(CO7="y",1,0),0)</f>
        <v>10</v>
      </c>
      <c r="CQ7" s="24">
        <v>3.0</v>
      </c>
      <c r="CR7" s="25">
        <v>6.0</v>
      </c>
      <c r="CS7" s="26" t="s">
        <v>267</v>
      </c>
      <c r="CT7" s="27" t="s">
        <v>267</v>
      </c>
      <c r="CU7" s="28" t="s">
        <v>267</v>
      </c>
      <c r="CV7" s="32" t="s">
        <v>267</v>
      </c>
      <c r="CW7" s="30">
        <f>IFERROR((VLOOKUP(CQ7,Scoring!$A:$B,2,0))+IF(CS7="y",1,0)+IF(CT7="y",1,0)+IF(CU7="y",1,0)+IF(CV7="y",1,0),0)</f>
        <v>15</v>
      </c>
      <c r="CX7" s="24">
        <v>21.0</v>
      </c>
      <c r="CY7" s="25">
        <v>5.0</v>
      </c>
      <c r="CZ7" s="26" t="s">
        <v>267</v>
      </c>
      <c r="DA7" s="27" t="s">
        <v>267</v>
      </c>
      <c r="DB7" s="28" t="s">
        <v>267</v>
      </c>
      <c r="DC7" s="32" t="s">
        <v>267</v>
      </c>
      <c r="DD7" s="30">
        <f>IFERROR((VLOOKUP(CX7,Scoring!$A:$B,2,0))+IF(CZ7="y",1,0)+IF(DA7="y",1,0)+IF(DB7="y",1,0)+IF(DC7="y",1,0),0)</f>
        <v>0</v>
      </c>
      <c r="DE7" s="24">
        <v>2.0</v>
      </c>
      <c r="DF7" s="25">
        <v>2.0</v>
      </c>
      <c r="DG7" s="26" t="s">
        <v>267</v>
      </c>
      <c r="DH7" s="27" t="s">
        <v>267</v>
      </c>
      <c r="DI7" s="28" t="s">
        <v>267</v>
      </c>
      <c r="DJ7" s="32" t="s">
        <v>266</v>
      </c>
      <c r="DK7" s="30">
        <f>IFERROR((VLOOKUP(DE7,Scoring!$A:$B,2,0))+IF(DG7="y",1,0)+IF(DH7="y",1,0)+IF(DI7="y",1,0)+IF(DJ7="y",1,0),0)</f>
        <v>19</v>
      </c>
      <c r="DL7" s="24">
        <v>3.0</v>
      </c>
      <c r="DM7" s="25">
        <v>3.0</v>
      </c>
      <c r="DN7" s="26" t="s">
        <v>267</v>
      </c>
      <c r="DO7" s="27" t="s">
        <v>267</v>
      </c>
      <c r="DP7" s="28" t="s">
        <v>267</v>
      </c>
      <c r="DQ7" s="32" t="s">
        <v>267</v>
      </c>
      <c r="DR7" s="30">
        <f>IFERROR((VLOOKUP(DL7,Scoring!$A:$B,2,0))+IF(DN7="y",1,0)+IF(DO7="y",1,0)+IF(DP7="y",1,0)+IF(DQ7="y",1,0),0)</f>
        <v>15</v>
      </c>
      <c r="DS7" s="13">
        <v>0.0</v>
      </c>
    </row>
    <row r="8">
      <c r="A8" s="33" t="s">
        <v>27</v>
      </c>
      <c r="B8" s="34" t="s">
        <v>28</v>
      </c>
      <c r="C8" s="35" t="s">
        <v>29</v>
      </c>
      <c r="D8" s="36">
        <v>4.0</v>
      </c>
      <c r="E8" s="37">
        <v>10.0</v>
      </c>
      <c r="F8" s="38" t="s">
        <v>267</v>
      </c>
      <c r="G8" s="39" t="s">
        <v>267</v>
      </c>
      <c r="H8" s="40" t="s">
        <v>267</v>
      </c>
      <c r="I8" s="41" t="s">
        <v>266</v>
      </c>
      <c r="J8" s="42">
        <f>IFERROR((VLOOKUP(D8,Scoring!$A:$B,2,0))+IF(F8="y",1,0)+IF(G8="y",1,0)+IF(H8="y",1,0)+IF(I8="y",1,0),0)</f>
        <v>13</v>
      </c>
      <c r="K8" s="36">
        <v>13.0</v>
      </c>
      <c r="L8" s="37">
        <v>6.0</v>
      </c>
      <c r="M8" s="38" t="s">
        <v>267</v>
      </c>
      <c r="N8" s="39" t="s">
        <v>267</v>
      </c>
      <c r="O8" s="40" t="s">
        <v>267</v>
      </c>
      <c r="P8" s="41" t="s">
        <v>267</v>
      </c>
      <c r="Q8" s="43">
        <f>IFERROR((VLOOKUP(K8,Scoring!$D:$E,2,0))+IF(M8="y",1,0)+IF(N8="y",1,0)+IF(O8="y",1,0)+IF(P8="y",1,0),0)</f>
        <v>0.5</v>
      </c>
      <c r="R8" s="36">
        <v>2.0</v>
      </c>
      <c r="S8" s="37">
        <v>3.0</v>
      </c>
      <c r="T8" s="38" t="s">
        <v>267</v>
      </c>
      <c r="U8" s="39" t="s">
        <v>267</v>
      </c>
      <c r="V8" s="40" t="s">
        <v>267</v>
      </c>
      <c r="W8" s="41" t="s">
        <v>267</v>
      </c>
      <c r="X8" s="42">
        <f>IFERROR((VLOOKUP(R8,Scoring!$A:$B,2,0))+IF(T8="y",1,0)+IF(U8="y",1,0)+IF(V8="y",1,0)+IF(W8="y",1,0),0)</f>
        <v>18</v>
      </c>
      <c r="Y8" s="36">
        <v>6.0</v>
      </c>
      <c r="Z8" s="37">
        <v>8.0</v>
      </c>
      <c r="AA8" s="38" t="s">
        <v>267</v>
      </c>
      <c r="AB8" s="39" t="s">
        <v>267</v>
      </c>
      <c r="AC8" s="40" t="s">
        <v>267</v>
      </c>
      <c r="AD8" s="41" t="s">
        <v>267</v>
      </c>
      <c r="AE8" s="42">
        <f>IFERROR((VLOOKUP(Y8,Scoring!$A:$B,2,0))+IF(AA8="y",1,0)+IF(AB8="y",1,0)+IF(AC8="y",1,0)+IF(AD8="y",1,0),0)</f>
        <v>8</v>
      </c>
      <c r="AF8" s="36">
        <v>8.0</v>
      </c>
      <c r="AG8" s="37">
        <v>10.0</v>
      </c>
      <c r="AH8" s="38" t="s">
        <v>267</v>
      </c>
      <c r="AI8" s="39" t="s">
        <v>267</v>
      </c>
      <c r="AJ8" s="40" t="s">
        <v>266</v>
      </c>
      <c r="AK8" s="44" t="s">
        <v>267</v>
      </c>
      <c r="AL8" s="42">
        <f>IFERROR((VLOOKUP(AF8,Scoring!$A:$B,2,0))+IF(AH8="y",1,0)+IF(AI8="y",1,0)+IF(AJ8="y",1,0)+IF(AK8="y",1,0),0)</f>
        <v>5</v>
      </c>
      <c r="AM8" s="36">
        <v>9.0</v>
      </c>
      <c r="AN8" s="37">
        <v>13.0</v>
      </c>
      <c r="AO8" s="38" t="s">
        <v>267</v>
      </c>
      <c r="AP8" s="39" t="s">
        <v>267</v>
      </c>
      <c r="AQ8" s="40" t="s">
        <v>267</v>
      </c>
      <c r="AR8" s="44" t="s">
        <v>267</v>
      </c>
      <c r="AS8" s="42">
        <f>IFERROR((VLOOKUP(AM8,Scoring!$A:$B,2,0))+IF(AO8="y",1,0)+IF(AP8="y",1,0)+IF(AQ8="y",1,0)+IF(AR8="y",1,0),0)</f>
        <v>3</v>
      </c>
      <c r="AT8" s="36">
        <v>12.0</v>
      </c>
      <c r="AU8" s="37">
        <v>10.0</v>
      </c>
      <c r="AV8" s="38" t="s">
        <v>267</v>
      </c>
      <c r="AW8" s="39" t="s">
        <v>267</v>
      </c>
      <c r="AX8" s="40" t="s">
        <v>267</v>
      </c>
      <c r="AY8" s="44" t="s">
        <v>267</v>
      </c>
      <c r="AZ8" s="42">
        <f>IFERROR((VLOOKUP(AT8,Scoring!$A:$B,2,0))+IF(AV8="y",1,0)+IF(AW8="y",1,0)+IF(AX8="y",1,0)+IF(AY8="y",1,0),0)</f>
        <v>1</v>
      </c>
      <c r="BA8" s="36">
        <v>13.0</v>
      </c>
      <c r="BB8" s="37">
        <v>9.0</v>
      </c>
      <c r="BC8" s="38" t="s">
        <v>267</v>
      </c>
      <c r="BD8" s="39" t="s">
        <v>267</v>
      </c>
      <c r="BE8" s="40" t="s">
        <v>267</v>
      </c>
      <c r="BF8" s="44" t="s">
        <v>267</v>
      </c>
      <c r="BG8" s="42">
        <f>IFERROR((VLOOKUP(BA8,Scoring!$D:$E,2,0))+IF(BC8="y",1,0)+IF(BD8="y",1,0)+IF(BE8="y",1,0)+IF(BF8="y",1,0),0)</f>
        <v>0.5</v>
      </c>
      <c r="BH8" s="36">
        <v>21.0</v>
      </c>
      <c r="BI8" s="37">
        <v>6.0</v>
      </c>
      <c r="BJ8" s="38" t="s">
        <v>267</v>
      </c>
      <c r="BK8" s="39" t="s">
        <v>267</v>
      </c>
      <c r="BL8" s="40" t="s">
        <v>267</v>
      </c>
      <c r="BM8" s="44" t="s">
        <v>267</v>
      </c>
      <c r="BN8" s="42">
        <f>IFERROR((VLOOKUP(BH8,Scoring!$A:$B,2,0))+IF(BJ8="y",1,0)+IF(BK8="y",1,0)+IF(BL8="y",1,0)+IF(BM8="y",1,0),0)</f>
        <v>0</v>
      </c>
      <c r="BO8" s="36">
        <v>9.0</v>
      </c>
      <c r="BP8" s="37">
        <v>8.0</v>
      </c>
      <c r="BQ8" s="38" t="s">
        <v>267</v>
      </c>
      <c r="BR8" s="39" t="s">
        <v>267</v>
      </c>
      <c r="BS8" s="40" t="s">
        <v>267</v>
      </c>
      <c r="BT8" s="44" t="s">
        <v>267</v>
      </c>
      <c r="BU8" s="42">
        <f>IFERROR((VLOOKUP(BO8,Scoring!$D:$E,2,0))+IF(BQ8="y",1,0)+IF(BR8="y",1,0)+IF(BS8="y",1,0)+IF(BT8="y",1,0),0)</f>
        <v>0.5</v>
      </c>
      <c r="BV8" s="36">
        <v>9.0</v>
      </c>
      <c r="BW8" s="37">
        <v>7.0</v>
      </c>
      <c r="BX8" s="38" t="s">
        <v>267</v>
      </c>
      <c r="BY8" s="39" t="s">
        <v>267</v>
      </c>
      <c r="BZ8" s="40" t="s">
        <v>267</v>
      </c>
      <c r="CA8" s="44" t="s">
        <v>267</v>
      </c>
      <c r="CB8" s="42">
        <f>IFERROR((VLOOKUP(BV8,Scoring!$A:$B,2,0))+IF(BX8="y",1,0)+IF(BY8="y",1,0)+IF(BZ8="y",1,0)+IF(CA8="y",1,0),0)</f>
        <v>3</v>
      </c>
      <c r="CC8" s="36">
        <v>11.0</v>
      </c>
      <c r="CD8" s="37">
        <v>7.0</v>
      </c>
      <c r="CE8" s="38" t="s">
        <v>267</v>
      </c>
      <c r="CF8" s="39" t="s">
        <v>267</v>
      </c>
      <c r="CG8" s="40" t="s">
        <v>267</v>
      </c>
      <c r="CH8" s="44" t="s">
        <v>267</v>
      </c>
      <c r="CI8" s="42">
        <f>IFERROR((VLOOKUP(CC8,Scoring!$A:$B,2,0))+IF(CE8="y",1,0)+IF(CF8="y",1,0)+IF(CG8="y",1,0)+IF(CH8="y",1,0),0)</f>
        <v>1</v>
      </c>
      <c r="CJ8" s="36">
        <v>10.0</v>
      </c>
      <c r="CK8" s="37">
        <v>9.0</v>
      </c>
      <c r="CL8" s="38" t="s">
        <v>267</v>
      </c>
      <c r="CM8" s="39" t="s">
        <v>267</v>
      </c>
      <c r="CN8" s="40" t="s">
        <v>266</v>
      </c>
      <c r="CO8" s="44" t="s">
        <v>267</v>
      </c>
      <c r="CP8" s="42">
        <f>IFERROR((VLOOKUP(CJ8,Scoring!$A:$B,2,0))+IF(CL8="y",1,0)+IF(CM8="y",1,0)+IF(CN8="y",1,0)+IF(CO8="y",1,0),0)</f>
        <v>3</v>
      </c>
      <c r="CQ8" s="36">
        <v>22.0</v>
      </c>
      <c r="CR8" s="37">
        <v>22.0</v>
      </c>
      <c r="CS8" s="38" t="s">
        <v>267</v>
      </c>
      <c r="CT8" s="39" t="s">
        <v>267</v>
      </c>
      <c r="CU8" s="40" t="s">
        <v>267</v>
      </c>
      <c r="CV8" s="44" t="s">
        <v>267</v>
      </c>
      <c r="CW8" s="42">
        <f>IFERROR((VLOOKUP(CQ8,Scoring!$A:$B,2,0))+IF(CS8="y",1,0)+IF(CT8="y",1,0)+IF(CU8="y",1,0)+IF(CV8="y",1,0),0)</f>
        <v>0</v>
      </c>
      <c r="CX8" s="36">
        <v>22.0</v>
      </c>
      <c r="CY8" s="37">
        <v>22.0</v>
      </c>
      <c r="CZ8" s="38" t="s">
        <v>267</v>
      </c>
      <c r="DA8" s="39" t="s">
        <v>267</v>
      </c>
      <c r="DB8" s="40" t="s">
        <v>267</v>
      </c>
      <c r="DC8" s="44" t="s">
        <v>267</v>
      </c>
      <c r="DD8" s="42">
        <f>IFERROR((VLOOKUP(CX8,Scoring!$A:$B,2,0))+IF(CZ8="y",1,0)+IF(DA8="y",1,0)+IF(DB8="y",1,0)+IF(DC8="y",1,0),0)</f>
        <v>0</v>
      </c>
      <c r="DE8" s="36">
        <v>21.0</v>
      </c>
      <c r="DF8" s="37">
        <v>9.0</v>
      </c>
      <c r="DG8" s="38" t="s">
        <v>267</v>
      </c>
      <c r="DH8" s="39" t="s">
        <v>267</v>
      </c>
      <c r="DI8" s="40" t="s">
        <v>267</v>
      </c>
      <c r="DJ8" s="44" t="s">
        <v>267</v>
      </c>
      <c r="DK8" s="42">
        <f>IFERROR((VLOOKUP(DE8,Scoring!$A:$B,2,0))+IF(DG8="y",1,0)+IF(DH8="y",1,0)+IF(DI8="y",1,0)+IF(DJ8="y",1,0),0)</f>
        <v>0</v>
      </c>
      <c r="DL8" s="36">
        <v>12.0</v>
      </c>
      <c r="DM8" s="37">
        <v>10.0</v>
      </c>
      <c r="DN8" s="38" t="s">
        <v>267</v>
      </c>
      <c r="DO8" s="39" t="s">
        <v>267</v>
      </c>
      <c r="DP8" s="40" t="s">
        <v>267</v>
      </c>
      <c r="DQ8" s="44" t="s">
        <v>267</v>
      </c>
      <c r="DR8" s="42">
        <f>IFERROR((VLOOKUP(DL8,Scoring!$A:$B,2,0))+IF(DN8="y",1,0)+IF(DO8="y",1,0)+IF(DP8="y",1,0)+IF(DQ8="y",1,0),0)</f>
        <v>1</v>
      </c>
      <c r="DS8" s="13">
        <v>0.0</v>
      </c>
    </row>
    <row r="9">
      <c r="A9" s="45" t="s">
        <v>27</v>
      </c>
      <c r="B9" s="46" t="s">
        <v>30</v>
      </c>
      <c r="C9" s="47" t="s">
        <v>31</v>
      </c>
      <c r="D9" s="48">
        <v>15.0</v>
      </c>
      <c r="E9" s="49">
        <v>5.0</v>
      </c>
      <c r="F9" s="50" t="s">
        <v>267</v>
      </c>
      <c r="G9" s="51" t="s">
        <v>267</v>
      </c>
      <c r="H9" s="52" t="s">
        <v>267</v>
      </c>
      <c r="I9" s="53" t="s">
        <v>267</v>
      </c>
      <c r="J9" s="54">
        <f>IFERROR((VLOOKUP(D9,Scoring!$A:$B,2,0))+IF(F9="y",1,0)+IF(G9="y",1,0)+IF(H9="y",1,0)+IF(I9="y",1,0),0)</f>
        <v>1</v>
      </c>
      <c r="K9" s="48">
        <v>9.0</v>
      </c>
      <c r="L9" s="49">
        <v>8.0</v>
      </c>
      <c r="M9" s="50" t="s">
        <v>267</v>
      </c>
      <c r="N9" s="51" t="s">
        <v>267</v>
      </c>
      <c r="O9" s="52" t="s">
        <v>267</v>
      </c>
      <c r="P9" s="53" t="s">
        <v>267</v>
      </c>
      <c r="Q9" s="55">
        <f>IFERROR((VLOOKUP(K9,Scoring!$D:$E,2,0))+IF(M9="y",1,0)+IF(N9="y",1,0)+IF(O9="y",1,0)+IF(P9="y",1,0),0)</f>
        <v>0.5</v>
      </c>
      <c r="R9" s="48">
        <v>21.0</v>
      </c>
      <c r="S9" s="49">
        <v>6.0</v>
      </c>
      <c r="T9" s="50" t="s">
        <v>267</v>
      </c>
      <c r="U9" s="51" t="s">
        <v>267</v>
      </c>
      <c r="V9" s="52" t="s">
        <v>267</v>
      </c>
      <c r="W9" s="53" t="s">
        <v>267</v>
      </c>
      <c r="X9" s="54">
        <f>IFERROR((VLOOKUP(R9,Scoring!$A:$B,2,0))+IF(T9="y",1,0)+IF(U9="y",1,0)+IF(V9="y",1,0)+IF(W9="y",1,0),0)</f>
        <v>0</v>
      </c>
      <c r="Y9" s="48">
        <v>4.0</v>
      </c>
      <c r="Z9" s="49">
        <v>4.0</v>
      </c>
      <c r="AA9" s="50" t="s">
        <v>267</v>
      </c>
      <c r="AB9" s="51" t="s">
        <v>267</v>
      </c>
      <c r="AC9" s="52" t="s">
        <v>267</v>
      </c>
      <c r="AD9" s="53" t="s">
        <v>267</v>
      </c>
      <c r="AE9" s="54">
        <f>IFERROR((VLOOKUP(Y9,Scoring!$A:$B,2,0))+IF(AA9="y",1,0)+IF(AB9="y",1,0)+IF(AC9="y",1,0)+IF(AD9="y",1,0),0)</f>
        <v>12</v>
      </c>
      <c r="AF9" s="48">
        <v>9.0</v>
      </c>
      <c r="AG9" s="49">
        <v>8.0</v>
      </c>
      <c r="AH9" s="50" t="s">
        <v>267</v>
      </c>
      <c r="AI9" s="51" t="s">
        <v>267</v>
      </c>
      <c r="AJ9" s="52" t="s">
        <v>267</v>
      </c>
      <c r="AK9" s="56" t="s">
        <v>267</v>
      </c>
      <c r="AL9" s="54">
        <f>IFERROR((VLOOKUP(AF9,Scoring!$A:$B,2,0))+IF(AH9="y",1,0)+IF(AI9="y",1,0)+IF(AJ9="y",1,0)+IF(AK9="y",1,0),0)</f>
        <v>3</v>
      </c>
      <c r="AM9" s="48">
        <v>8.0</v>
      </c>
      <c r="AN9" s="49">
        <v>11.0</v>
      </c>
      <c r="AO9" s="50" t="s">
        <v>267</v>
      </c>
      <c r="AP9" s="51" t="s">
        <v>267</v>
      </c>
      <c r="AQ9" s="52" t="s">
        <v>267</v>
      </c>
      <c r="AR9" s="56" t="s">
        <v>267</v>
      </c>
      <c r="AS9" s="54">
        <f>IFERROR((VLOOKUP(AM9,Scoring!$A:$B,2,0))+IF(AO9="y",1,0)+IF(AP9="y",1,0)+IF(AQ9="y",1,0)+IF(AR9="y",1,0),0)</f>
        <v>4</v>
      </c>
      <c r="AT9" s="48">
        <v>15.0</v>
      </c>
      <c r="AU9" s="49">
        <v>9.0</v>
      </c>
      <c r="AV9" s="50" t="s">
        <v>267</v>
      </c>
      <c r="AW9" s="51" t="s">
        <v>267</v>
      </c>
      <c r="AX9" s="52" t="s">
        <v>267</v>
      </c>
      <c r="AY9" s="56" t="s">
        <v>267</v>
      </c>
      <c r="AZ9" s="54">
        <f>IFERROR((VLOOKUP(AT9,Scoring!$A:$B,2,0))+IF(AV9="y",1,0)+IF(AW9="y",1,0)+IF(AX9="y",1,0)+IF(AY9="y",1,0),0)</f>
        <v>1</v>
      </c>
      <c r="BA9" s="48">
        <v>9.0</v>
      </c>
      <c r="BB9" s="49">
        <v>7.0</v>
      </c>
      <c r="BC9" s="50" t="s">
        <v>267</v>
      </c>
      <c r="BD9" s="51" t="s">
        <v>267</v>
      </c>
      <c r="BE9" s="52" t="s">
        <v>267</v>
      </c>
      <c r="BF9" s="56" t="s">
        <v>267</v>
      </c>
      <c r="BG9" s="54">
        <f>IFERROR((VLOOKUP(BA9,Scoring!$D:$E,2,0))+IF(BC9="y",1,0)+IF(BD9="y",1,0)+IF(BE9="y",1,0)+IF(BF9="y",1,0),0)</f>
        <v>0.5</v>
      </c>
      <c r="BH9" s="48">
        <v>8.0</v>
      </c>
      <c r="BI9" s="49">
        <v>7.0</v>
      </c>
      <c r="BJ9" s="50" t="s">
        <v>267</v>
      </c>
      <c r="BK9" s="51" t="s">
        <v>267</v>
      </c>
      <c r="BL9" s="52" t="s">
        <v>267</v>
      </c>
      <c r="BM9" s="56" t="s">
        <v>267</v>
      </c>
      <c r="BN9" s="54">
        <f>IFERROR((VLOOKUP(BH9,Scoring!$A:$B,2,0))+IF(BJ9="y",1,0)+IF(BK9="y",1,0)+IF(BL9="y",1,0)+IF(BM9="y",1,0),0)</f>
        <v>4</v>
      </c>
      <c r="BO9" s="48">
        <v>14.0</v>
      </c>
      <c r="BP9" s="49">
        <v>7.0</v>
      </c>
      <c r="BQ9" s="50" t="s">
        <v>267</v>
      </c>
      <c r="BR9" s="51" t="s">
        <v>267</v>
      </c>
      <c r="BS9" s="52" t="s">
        <v>267</v>
      </c>
      <c r="BT9" s="56" t="s">
        <v>267</v>
      </c>
      <c r="BU9" s="54">
        <f>IFERROR((VLOOKUP(BO9,Scoring!$D:$E,2,0))+IF(BQ9="y",1,0)+IF(BR9="y",1,0)+IF(BS9="y",1,0)+IF(BT9="y",1,0),0)</f>
        <v>0.5</v>
      </c>
      <c r="BV9" s="48">
        <v>10.0</v>
      </c>
      <c r="BW9" s="49">
        <v>6.0</v>
      </c>
      <c r="BX9" s="50" t="s">
        <v>267</v>
      </c>
      <c r="BY9" s="51" t="s">
        <v>267</v>
      </c>
      <c r="BZ9" s="52" t="s">
        <v>267</v>
      </c>
      <c r="CA9" s="56" t="s">
        <v>267</v>
      </c>
      <c r="CB9" s="54">
        <f>IFERROR((VLOOKUP(BV9,Scoring!$A:$B,2,0))+IF(BX9="y",1,0)+IF(BY9="y",1,0)+IF(BZ9="y",1,0)+IF(CA9="y",1,0),0)</f>
        <v>2</v>
      </c>
      <c r="CC9" s="48">
        <v>5.0</v>
      </c>
      <c r="CD9" s="49">
        <v>14.0</v>
      </c>
      <c r="CE9" s="50" t="s">
        <v>267</v>
      </c>
      <c r="CF9" s="51" t="s">
        <v>267</v>
      </c>
      <c r="CG9" s="52" t="s">
        <v>267</v>
      </c>
      <c r="CH9" s="56" t="s">
        <v>267</v>
      </c>
      <c r="CI9" s="54">
        <f>IFERROR((VLOOKUP(CC9,Scoring!$A:$B,2,0))+IF(CE9="y",1,0)+IF(CF9="y",1,0)+IF(CG9="y",1,0)+IF(CH9="y",1,0),0)</f>
        <v>10</v>
      </c>
      <c r="CJ9" s="48">
        <v>6.0</v>
      </c>
      <c r="CK9" s="49">
        <v>11.0</v>
      </c>
      <c r="CL9" s="50" t="s">
        <v>267</v>
      </c>
      <c r="CM9" s="51" t="s">
        <v>267</v>
      </c>
      <c r="CN9" s="52" t="s">
        <v>267</v>
      </c>
      <c r="CO9" s="56" t="s">
        <v>267</v>
      </c>
      <c r="CP9" s="54">
        <f>IFERROR((VLOOKUP(CJ9,Scoring!$A:$B,2,0))+IF(CL9="y",1,0)+IF(CM9="y",1,0)+IF(CN9="y",1,0)+IF(CO9="y",1,0),0)</f>
        <v>8</v>
      </c>
      <c r="CQ9" s="48">
        <v>11.0</v>
      </c>
      <c r="CR9" s="49">
        <v>4.0</v>
      </c>
      <c r="CS9" s="50" t="s">
        <v>267</v>
      </c>
      <c r="CT9" s="51" t="s">
        <v>267</v>
      </c>
      <c r="CU9" s="52" t="s">
        <v>267</v>
      </c>
      <c r="CV9" s="56" t="s">
        <v>267</v>
      </c>
      <c r="CW9" s="54">
        <f>IFERROR((VLOOKUP(CQ9,Scoring!$A:$B,2,0))+IF(CS9="y",1,0)+IF(CT9="y",1,0)+IF(CU9="y",1,0)+IF(CV9="y",1,0),0)</f>
        <v>1</v>
      </c>
      <c r="CX9" s="48">
        <v>21.0</v>
      </c>
      <c r="CY9" s="49">
        <v>8.0</v>
      </c>
      <c r="CZ9" s="50" t="s">
        <v>267</v>
      </c>
      <c r="DA9" s="51" t="s">
        <v>267</v>
      </c>
      <c r="DB9" s="52" t="s">
        <v>267</v>
      </c>
      <c r="DC9" s="56" t="s">
        <v>267</v>
      </c>
      <c r="DD9" s="54">
        <f>IFERROR((VLOOKUP(CX9,Scoring!$A:$B,2,0))+IF(CZ9="y",1,0)+IF(DA9="y",1,0)+IF(DB9="y",1,0)+IF(DC9="y",1,0),0)</f>
        <v>0</v>
      </c>
      <c r="DE9" s="48">
        <v>6.0</v>
      </c>
      <c r="DF9" s="49">
        <v>10.0</v>
      </c>
      <c r="DG9" s="50" t="s">
        <v>267</v>
      </c>
      <c r="DH9" s="51" t="s">
        <v>267</v>
      </c>
      <c r="DI9" s="52" t="s">
        <v>267</v>
      </c>
      <c r="DJ9" s="56" t="s">
        <v>267</v>
      </c>
      <c r="DK9" s="54">
        <f>IFERROR((VLOOKUP(DE9,Scoring!$A:$B,2,0))+IF(DG9="y",1,0)+IF(DH9="y",1,0)+IF(DI9="y",1,0)+IF(DJ9="y",1,0),0)</f>
        <v>8</v>
      </c>
      <c r="DL9" s="48">
        <v>8.0</v>
      </c>
      <c r="DM9" s="49">
        <v>8.0</v>
      </c>
      <c r="DN9" s="50" t="s">
        <v>267</v>
      </c>
      <c r="DO9" s="51" t="s">
        <v>267</v>
      </c>
      <c r="DP9" s="52" t="s">
        <v>266</v>
      </c>
      <c r="DQ9" s="56" t="s">
        <v>267</v>
      </c>
      <c r="DR9" s="54">
        <f>IFERROR((VLOOKUP(DL9,Scoring!$A:$B,2,0))+IF(DN9="y",1,0)+IF(DO9="y",1,0)+IF(DP9="y",1,0)+IF(DQ9="y",1,0),0)</f>
        <v>5</v>
      </c>
      <c r="DS9" s="13">
        <v>0.0</v>
      </c>
    </row>
    <row r="10">
      <c r="A10" s="14" t="s">
        <v>32</v>
      </c>
      <c r="B10" s="1" t="s">
        <v>33</v>
      </c>
      <c r="C10" s="15" t="s">
        <v>34</v>
      </c>
      <c r="D10" s="24">
        <v>5.0</v>
      </c>
      <c r="E10" s="25">
        <v>8.0</v>
      </c>
      <c r="F10" s="26" t="s">
        <v>267</v>
      </c>
      <c r="G10" s="27" t="s">
        <v>267</v>
      </c>
      <c r="H10" s="28" t="s">
        <v>267</v>
      </c>
      <c r="I10" s="29" t="s">
        <v>267</v>
      </c>
      <c r="J10" s="30">
        <f>IFERROR((VLOOKUP(D10,Scoring!$A:$B,2,0))+IF(F10="y",1,0)+IF(G10="y",1,0)+IF(H10="y",1,0)+IF(I10="y",1,0),0)</f>
        <v>10</v>
      </c>
      <c r="K10" s="24">
        <v>5.0</v>
      </c>
      <c r="L10" s="25">
        <v>11.0</v>
      </c>
      <c r="M10" s="26" t="s">
        <v>267</v>
      </c>
      <c r="N10" s="27" t="s">
        <v>267</v>
      </c>
      <c r="O10" s="28" t="s">
        <v>267</v>
      </c>
      <c r="P10" s="29" t="s">
        <v>267</v>
      </c>
      <c r="Q10" s="31">
        <f>IFERROR((VLOOKUP(K10,Scoring!$D:$E,2,0))+IF(M10="y",1,0)+IF(N10="y",1,0)+IF(O10="y",1,0)+IF(P10="y",1,0),0)</f>
        <v>4</v>
      </c>
      <c r="R10" s="24">
        <v>6.0</v>
      </c>
      <c r="S10" s="25">
        <v>10.0</v>
      </c>
      <c r="T10" s="26" t="s">
        <v>267</v>
      </c>
      <c r="U10" s="27" t="s">
        <v>267</v>
      </c>
      <c r="V10" s="28" t="s">
        <v>267</v>
      </c>
      <c r="W10" s="29" t="s">
        <v>267</v>
      </c>
      <c r="X10" s="30">
        <f>IFERROR((VLOOKUP(R10,Scoring!$A:$B,2,0))+IF(T10="y",1,0)+IF(U10="y",1,0)+IF(V10="y",1,0)+IF(W10="y",1,0),0)</f>
        <v>8</v>
      </c>
      <c r="Y10" s="24">
        <v>8.0</v>
      </c>
      <c r="Z10" s="25">
        <v>15.0</v>
      </c>
      <c r="AA10" s="26" t="s">
        <v>267</v>
      </c>
      <c r="AB10" s="27" t="s">
        <v>266</v>
      </c>
      <c r="AC10" s="28" t="s">
        <v>267</v>
      </c>
      <c r="AD10" s="29" t="s">
        <v>267</v>
      </c>
      <c r="AE10" s="30">
        <f>IFERROR((VLOOKUP(Y10,Scoring!$A:$B,2,0))+IF(AA10="y",1,0)+IF(AB10="y",1,0)+IF(AC10="y",1,0)+IF(AD10="y",1,0),0)</f>
        <v>5</v>
      </c>
      <c r="AF10" s="24">
        <v>7.0</v>
      </c>
      <c r="AG10" s="25">
        <v>7.0</v>
      </c>
      <c r="AH10" s="26" t="s">
        <v>267</v>
      </c>
      <c r="AI10" s="27" t="s">
        <v>267</v>
      </c>
      <c r="AJ10" s="28" t="s">
        <v>267</v>
      </c>
      <c r="AK10" s="32" t="s">
        <v>267</v>
      </c>
      <c r="AL10" s="30">
        <f>IFERROR((VLOOKUP(AF10,Scoring!$A:$B,2,0))+IF(AH10="y",1,0)+IF(AI10="y",1,0)+IF(AJ10="y",1,0)+IF(AK10="y",1,0),0)</f>
        <v>6</v>
      </c>
      <c r="AM10" s="24">
        <v>7.0</v>
      </c>
      <c r="AN10" s="25">
        <v>7.0</v>
      </c>
      <c r="AO10" s="26" t="s">
        <v>267</v>
      </c>
      <c r="AP10" s="27" t="s">
        <v>267</v>
      </c>
      <c r="AQ10" s="28" t="s">
        <v>267</v>
      </c>
      <c r="AR10" s="32" t="s">
        <v>267</v>
      </c>
      <c r="AS10" s="30">
        <f>IFERROR((VLOOKUP(AM10,Scoring!$A:$B,2,0))+IF(AO10="y",1,0)+IF(AP10="y",1,0)+IF(AQ10="y",1,0)+IF(AR10="y",1,0),0)</f>
        <v>6</v>
      </c>
      <c r="AT10" s="24">
        <v>6.0</v>
      </c>
      <c r="AU10" s="25">
        <v>15.0</v>
      </c>
      <c r="AV10" s="26" t="s">
        <v>267</v>
      </c>
      <c r="AW10" s="27" t="s">
        <v>267</v>
      </c>
      <c r="AX10" s="28" t="s">
        <v>267</v>
      </c>
      <c r="AY10" s="32" t="s">
        <v>267</v>
      </c>
      <c r="AZ10" s="30">
        <f>IFERROR((VLOOKUP(AT10,Scoring!$A:$B,2,0))+IF(AV10="y",1,0)+IF(AW10="y",1,0)+IF(AX10="y",1,0)+IF(AY10="y",1,0),0)</f>
        <v>8</v>
      </c>
      <c r="BA10" s="24">
        <v>22.0</v>
      </c>
      <c r="BB10" s="25">
        <v>22.0</v>
      </c>
      <c r="BC10" s="26" t="s">
        <v>267</v>
      </c>
      <c r="BD10" s="27" t="s">
        <v>267</v>
      </c>
      <c r="BE10" s="28" t="s">
        <v>267</v>
      </c>
      <c r="BF10" s="32" t="s">
        <v>267</v>
      </c>
      <c r="BG10" s="30">
        <f>IFERROR((VLOOKUP(BA10,Scoring!$D:$E,2,0))+IF(BC10="y",1,0)+IF(BD10="y",1,0)+IF(BE10="y",1,0)+IF(BF10="y",1,0),0)</f>
        <v>0</v>
      </c>
      <c r="BH10" s="24">
        <v>22.0</v>
      </c>
      <c r="BI10" s="25">
        <v>22.0</v>
      </c>
      <c r="BJ10" s="26" t="s">
        <v>267</v>
      </c>
      <c r="BK10" s="27" t="s">
        <v>267</v>
      </c>
      <c r="BL10" s="28" t="s">
        <v>267</v>
      </c>
      <c r="BM10" s="32" t="s">
        <v>267</v>
      </c>
      <c r="BN10" s="30">
        <f>IFERROR((VLOOKUP(BH10,Scoring!$A:$B,2,0))+IF(BJ10="y",1,0)+IF(BK10="y",1,0)+IF(BL10="y",1,0)+IF(BM10="y",1,0),0)</f>
        <v>0</v>
      </c>
      <c r="BO10" s="24">
        <v>22.0</v>
      </c>
      <c r="BP10" s="25">
        <v>22.0</v>
      </c>
      <c r="BQ10" s="26" t="s">
        <v>267</v>
      </c>
      <c r="BR10" s="27" t="s">
        <v>267</v>
      </c>
      <c r="BS10" s="28" t="s">
        <v>267</v>
      </c>
      <c r="BT10" s="32" t="s">
        <v>267</v>
      </c>
      <c r="BU10" s="30">
        <f>IFERROR((VLOOKUP(BO10,Scoring!$D:$E,2,0))+IF(BQ10="y",1,0)+IF(BR10="y",1,0)+IF(BS10="y",1,0)+IF(BT10="y",1,0),0)</f>
        <v>0</v>
      </c>
      <c r="BV10" s="24">
        <v>22.0</v>
      </c>
      <c r="BW10" s="25">
        <v>22.0</v>
      </c>
      <c r="BX10" s="26" t="s">
        <v>267</v>
      </c>
      <c r="BY10" s="27" t="s">
        <v>267</v>
      </c>
      <c r="BZ10" s="28" t="s">
        <v>267</v>
      </c>
      <c r="CA10" s="32" t="s">
        <v>267</v>
      </c>
      <c r="CB10" s="30">
        <f>IFERROR((VLOOKUP(BV10,Scoring!$A:$B,2,0))+IF(BX10="y",1,0)+IF(BY10="y",1,0)+IF(BZ10="y",1,0)+IF(CA10="y",1,0),0)</f>
        <v>0</v>
      </c>
      <c r="CC10" s="24">
        <v>4.0</v>
      </c>
      <c r="CD10" s="25">
        <v>5.0</v>
      </c>
      <c r="CE10" s="26" t="s">
        <v>267</v>
      </c>
      <c r="CF10" s="27" t="s">
        <v>267</v>
      </c>
      <c r="CG10" s="28" t="s">
        <v>267</v>
      </c>
      <c r="CH10" s="32" t="s">
        <v>267</v>
      </c>
      <c r="CI10" s="30">
        <f>IFERROR((VLOOKUP(CC10,Scoring!$A:$B,2,0))+IF(CE10="y",1,0)+IF(CF10="y",1,0)+IF(CG10="y",1,0)+IF(CH10="y",1,0),0)</f>
        <v>12</v>
      </c>
      <c r="CJ10" s="24">
        <v>7.0</v>
      </c>
      <c r="CK10" s="25">
        <v>7.0</v>
      </c>
      <c r="CL10" s="26" t="s">
        <v>267</v>
      </c>
      <c r="CM10" s="27" t="s">
        <v>267</v>
      </c>
      <c r="CN10" s="28" t="s">
        <v>267</v>
      </c>
      <c r="CO10" s="32" t="s">
        <v>267</v>
      </c>
      <c r="CP10" s="30">
        <f>IFERROR((VLOOKUP(CJ10,Scoring!$A:$B,2,0))+IF(CL10="y",1,0)+IF(CM10="y",1,0)+IF(CN10="y",1,0)+IF(CO10="y",1,0),0)</f>
        <v>6</v>
      </c>
      <c r="CQ10" s="24">
        <v>21.0</v>
      </c>
      <c r="CR10" s="25">
        <v>3.0</v>
      </c>
      <c r="CS10" s="26" t="s">
        <v>267</v>
      </c>
      <c r="CT10" s="27" t="s">
        <v>267</v>
      </c>
      <c r="CU10" s="28" t="s">
        <v>267</v>
      </c>
      <c r="CV10" s="32" t="s">
        <v>267</v>
      </c>
      <c r="CW10" s="30">
        <f>IFERROR((VLOOKUP(CQ10,Scoring!$A:$B,2,0))+IF(CS10="y",1,0)+IF(CT10="y",1,0)+IF(CU10="y",1,0)+IF(CV10="y",1,0),0)</f>
        <v>0</v>
      </c>
      <c r="CX10" s="24">
        <v>7.0</v>
      </c>
      <c r="CY10" s="25">
        <v>7.0</v>
      </c>
      <c r="CZ10" s="26" t="s">
        <v>267</v>
      </c>
      <c r="DA10" s="27" t="s">
        <v>267</v>
      </c>
      <c r="DB10" s="28" t="s">
        <v>267</v>
      </c>
      <c r="DC10" s="32" t="s">
        <v>267</v>
      </c>
      <c r="DD10" s="30">
        <f>IFERROR((VLOOKUP(CX10,Scoring!$A:$B,2,0))+IF(CZ10="y",1,0)+IF(DA10="y",1,0)+IF(DB10="y",1,0)+IF(DC10="y",1,0),0)</f>
        <v>6</v>
      </c>
      <c r="DE10" s="24">
        <v>8.0</v>
      </c>
      <c r="DF10" s="25">
        <v>11.0</v>
      </c>
      <c r="DG10" s="26" t="s">
        <v>267</v>
      </c>
      <c r="DH10" s="27" t="s">
        <v>267</v>
      </c>
      <c r="DI10" s="28" t="s">
        <v>266</v>
      </c>
      <c r="DJ10" s="32" t="s">
        <v>267</v>
      </c>
      <c r="DK10" s="30">
        <f>IFERROR((VLOOKUP(DE10,Scoring!$A:$B,2,0))+IF(DG10="y",1,0)+IF(DH10="y",1,0)+IF(DI10="y",1,0)+IF(DJ10="y",1,0),0)</f>
        <v>5</v>
      </c>
      <c r="DL10" s="24">
        <v>5.0</v>
      </c>
      <c r="DM10" s="25">
        <v>6.0</v>
      </c>
      <c r="DN10" s="26" t="s">
        <v>267</v>
      </c>
      <c r="DO10" s="27" t="s">
        <v>267</v>
      </c>
      <c r="DP10" s="28" t="s">
        <v>267</v>
      </c>
      <c r="DQ10" s="32" t="s">
        <v>267</v>
      </c>
      <c r="DR10" s="30">
        <f>IFERROR((VLOOKUP(DL10,Scoring!$A:$B,2,0))+IF(DN10="y",1,0)+IF(DO10="y",1,0)+IF(DP10="y",1,0)+IF(DQ10="y",1,0),0)</f>
        <v>10</v>
      </c>
      <c r="DS10" s="13">
        <v>0.0</v>
      </c>
    </row>
    <row r="11">
      <c r="A11" s="14" t="s">
        <v>32</v>
      </c>
      <c r="B11" s="1" t="s">
        <v>35</v>
      </c>
      <c r="C11" s="15" t="s">
        <v>36</v>
      </c>
      <c r="D11" s="24">
        <v>7.0</v>
      </c>
      <c r="E11" s="25">
        <v>12.0</v>
      </c>
      <c r="F11" s="26" t="s">
        <v>267</v>
      </c>
      <c r="G11" s="27" t="s">
        <v>267</v>
      </c>
      <c r="H11" s="28" t="s">
        <v>267</v>
      </c>
      <c r="I11" s="29" t="s">
        <v>267</v>
      </c>
      <c r="J11" s="30">
        <f>IFERROR((VLOOKUP(D11,Scoring!$A:$B,2,0))+IF(F11="y",1,0)+IF(G11="y",1,0)+IF(H11="y",1,0)+IF(I11="y",1,0),0)</f>
        <v>6</v>
      </c>
      <c r="K11" s="24">
        <v>21.0</v>
      </c>
      <c r="L11" s="25">
        <v>10.0</v>
      </c>
      <c r="M11" s="26" t="s">
        <v>267</v>
      </c>
      <c r="N11" s="27" t="s">
        <v>267</v>
      </c>
      <c r="O11" s="28" t="s">
        <v>267</v>
      </c>
      <c r="P11" s="29" t="s">
        <v>267</v>
      </c>
      <c r="Q11" s="31">
        <f>IFERROR((VLOOKUP(K11,Scoring!$D:$E,2,0))+IF(M11="y",1,0)+IF(N11="y",1,0)+IF(O11="y",1,0)+IF(P11="y",1,0),0)</f>
        <v>0</v>
      </c>
      <c r="R11" s="24">
        <v>11.0</v>
      </c>
      <c r="S11" s="25">
        <v>15.0</v>
      </c>
      <c r="T11" s="26" t="s">
        <v>267</v>
      </c>
      <c r="U11" s="27" t="s">
        <v>267</v>
      </c>
      <c r="V11" s="28" t="s">
        <v>267</v>
      </c>
      <c r="W11" s="29" t="s">
        <v>267</v>
      </c>
      <c r="X11" s="30">
        <f>IFERROR((VLOOKUP(R11,Scoring!$A:$B,2,0))+IF(T11="y",1,0)+IF(U11="y",1,0)+IF(V11="y",1,0)+IF(W11="y",1,0),0)</f>
        <v>1</v>
      </c>
      <c r="Y11" s="24">
        <v>21.0</v>
      </c>
      <c r="Z11" s="25">
        <v>11.0</v>
      </c>
      <c r="AA11" s="26" t="s">
        <v>267</v>
      </c>
      <c r="AB11" s="27" t="s">
        <v>267</v>
      </c>
      <c r="AC11" s="28" t="s">
        <v>267</v>
      </c>
      <c r="AD11" s="29" t="s">
        <v>267</v>
      </c>
      <c r="AE11" s="30">
        <f>IFERROR((VLOOKUP(Y11,Scoring!$A:$B,2,0))+IF(AA11="y",1,0)+IF(AB11="y",1,0)+IF(AC11="y",1,0)+IF(AD11="y",1,0),0)</f>
        <v>0</v>
      </c>
      <c r="AF11" s="24">
        <v>13.0</v>
      </c>
      <c r="AG11" s="25">
        <v>12.0</v>
      </c>
      <c r="AH11" s="26" t="s">
        <v>267</v>
      </c>
      <c r="AI11" s="27" t="s">
        <v>267</v>
      </c>
      <c r="AJ11" s="28" t="s">
        <v>267</v>
      </c>
      <c r="AK11" s="32" t="s">
        <v>267</v>
      </c>
      <c r="AL11" s="30">
        <f>IFERROR((VLOOKUP(AF11,Scoring!$A:$B,2,0))+IF(AH11="y",1,0)+IF(AI11="y",1,0)+IF(AJ11="y",1,0)+IF(AK11="y",1,0),0)</f>
        <v>1</v>
      </c>
      <c r="AM11" s="24">
        <v>11.0</v>
      </c>
      <c r="AN11" s="25">
        <v>14.0</v>
      </c>
      <c r="AO11" s="26" t="s">
        <v>267</v>
      </c>
      <c r="AP11" s="27" t="s">
        <v>267</v>
      </c>
      <c r="AQ11" s="28" t="s">
        <v>267</v>
      </c>
      <c r="AR11" s="32" t="s">
        <v>267</v>
      </c>
      <c r="AS11" s="30">
        <f>IFERROR((VLOOKUP(AM11,Scoring!$A:$B,2,0))+IF(AO11="y",1,0)+IF(AP11="y",1,0)+IF(AQ11="y",1,0)+IF(AR11="y",1,0),0)</f>
        <v>1</v>
      </c>
      <c r="AT11" s="24">
        <v>10.0</v>
      </c>
      <c r="AU11" s="25">
        <v>12.0</v>
      </c>
      <c r="AV11" s="26" t="s">
        <v>267</v>
      </c>
      <c r="AW11" s="27" t="s">
        <v>267</v>
      </c>
      <c r="AX11" s="28" t="s">
        <v>267</v>
      </c>
      <c r="AY11" s="32" t="s">
        <v>267</v>
      </c>
      <c r="AZ11" s="30">
        <f>IFERROR((VLOOKUP(AT11,Scoring!$A:$B,2,0))+IF(AV11="y",1,0)+IF(AW11="y",1,0)+IF(AX11="y",1,0)+IF(AY11="y",1,0),0)</f>
        <v>2</v>
      </c>
      <c r="BA11" s="24">
        <v>15.0</v>
      </c>
      <c r="BB11" s="25">
        <v>14.0</v>
      </c>
      <c r="BC11" s="26" t="s">
        <v>267</v>
      </c>
      <c r="BD11" s="27" t="s">
        <v>267</v>
      </c>
      <c r="BE11" s="28" t="s">
        <v>267</v>
      </c>
      <c r="BF11" s="32" t="s">
        <v>267</v>
      </c>
      <c r="BG11" s="30">
        <f>IFERROR((VLOOKUP(BA11,Scoring!$D:$E,2,0))+IF(BC11="y",1,0)+IF(BD11="y",1,0)+IF(BE11="y",1,0)+IF(BF11="y",1,0),0)</f>
        <v>0.5</v>
      </c>
      <c r="BH11" s="24">
        <v>10.0</v>
      </c>
      <c r="BI11" s="25">
        <v>4.0</v>
      </c>
      <c r="BJ11" s="26" t="s">
        <v>267</v>
      </c>
      <c r="BK11" s="27" t="s">
        <v>267</v>
      </c>
      <c r="BL11" s="28" t="s">
        <v>267</v>
      </c>
      <c r="BM11" s="32" t="s">
        <v>267</v>
      </c>
      <c r="BN11" s="30">
        <f>IFERROR((VLOOKUP(BH11,Scoring!$A:$B,2,0))+IF(BJ11="y",1,0)+IF(BK11="y",1,0)+IF(BL11="y",1,0)+IF(BM11="y",1,0),0)</f>
        <v>2</v>
      </c>
      <c r="BO11" s="24">
        <v>22.0</v>
      </c>
      <c r="BP11" s="25">
        <v>22.0</v>
      </c>
      <c r="BQ11" s="26" t="s">
        <v>267</v>
      </c>
      <c r="BR11" s="27" t="s">
        <v>267</v>
      </c>
      <c r="BS11" s="28" t="s">
        <v>267</v>
      </c>
      <c r="BT11" s="32" t="s">
        <v>267</v>
      </c>
      <c r="BU11" s="30">
        <f>IFERROR((VLOOKUP(BO11,Scoring!$D:$E,2,0))+IF(BQ11="y",1,0)+IF(BR11="y",1,0)+IF(BS11="y",1,0)+IF(BT11="y",1,0),0)</f>
        <v>0</v>
      </c>
      <c r="BV11" s="24">
        <v>22.0</v>
      </c>
      <c r="BW11" s="25">
        <v>22.0</v>
      </c>
      <c r="BX11" s="26" t="s">
        <v>267</v>
      </c>
      <c r="BY11" s="27" t="s">
        <v>267</v>
      </c>
      <c r="BZ11" s="28" t="s">
        <v>267</v>
      </c>
      <c r="CA11" s="32" t="s">
        <v>267</v>
      </c>
      <c r="CB11" s="30">
        <f>IFERROR((VLOOKUP(BV11,Scoring!$A:$B,2,0))+IF(BX11="y",1,0)+IF(BY11="y",1,0)+IF(BZ11="y",1,0)+IF(CA11="y",1,0),0)</f>
        <v>0</v>
      </c>
      <c r="CC11" s="24">
        <v>12.0</v>
      </c>
      <c r="CD11" s="25">
        <v>9.0</v>
      </c>
      <c r="CE11" s="26" t="s">
        <v>267</v>
      </c>
      <c r="CF11" s="27" t="s">
        <v>267</v>
      </c>
      <c r="CG11" s="28" t="s">
        <v>267</v>
      </c>
      <c r="CH11" s="32" t="s">
        <v>267</v>
      </c>
      <c r="CI11" s="30">
        <f>IFERROR((VLOOKUP(CC11,Scoring!$A:$B,2,0))+IF(CE11="y",1,0)+IF(CF11="y",1,0)+IF(CG11="y",1,0)+IF(CH11="y",1,0),0)</f>
        <v>1</v>
      </c>
      <c r="CJ11" s="24">
        <v>13.0</v>
      </c>
      <c r="CK11" s="25">
        <v>12.0</v>
      </c>
      <c r="CL11" s="26" t="s">
        <v>267</v>
      </c>
      <c r="CM11" s="27" t="s">
        <v>267</v>
      </c>
      <c r="CN11" s="28" t="s">
        <v>267</v>
      </c>
      <c r="CO11" s="32" t="s">
        <v>267</v>
      </c>
      <c r="CP11" s="30">
        <f>IFERROR((VLOOKUP(CJ11,Scoring!$A:$B,2,0))+IF(CL11="y",1,0)+IF(CM11="y",1,0)+IF(CN11="y",1,0)+IF(CO11="y",1,0),0)</f>
        <v>1</v>
      </c>
      <c r="CQ11" s="24">
        <v>22.0</v>
      </c>
      <c r="CR11" s="25">
        <v>22.0</v>
      </c>
      <c r="CS11" s="26" t="s">
        <v>267</v>
      </c>
      <c r="CT11" s="27" t="s">
        <v>267</v>
      </c>
      <c r="CU11" s="28" t="s">
        <v>267</v>
      </c>
      <c r="CV11" s="32" t="s">
        <v>267</v>
      </c>
      <c r="CW11" s="30">
        <f>IFERROR((VLOOKUP(CQ11,Scoring!$A:$B,2,0))+IF(CS11="y",1,0)+IF(CT11="y",1,0)+IF(CU11="y",1,0)+IF(CV11="y",1,0),0)</f>
        <v>0</v>
      </c>
      <c r="CX11" s="24">
        <v>22.0</v>
      </c>
      <c r="CY11" s="25">
        <v>22.0</v>
      </c>
      <c r="CZ11" s="26" t="s">
        <v>267</v>
      </c>
      <c r="DA11" s="27" t="s">
        <v>267</v>
      </c>
      <c r="DB11" s="28" t="s">
        <v>267</v>
      </c>
      <c r="DC11" s="32" t="s">
        <v>267</v>
      </c>
      <c r="DD11" s="30">
        <f>IFERROR((VLOOKUP(CX11,Scoring!$A:$B,2,0))+IF(CZ11="y",1,0)+IF(DA11="y",1,0)+IF(DB11="y",1,0)+IF(DC11="y",1,0),0)</f>
        <v>0</v>
      </c>
      <c r="DE11" s="24">
        <v>9.0</v>
      </c>
      <c r="DF11" s="25">
        <v>12.0</v>
      </c>
      <c r="DG11" s="26" t="s">
        <v>267</v>
      </c>
      <c r="DH11" s="27" t="s">
        <v>267</v>
      </c>
      <c r="DI11" s="28" t="s">
        <v>267</v>
      </c>
      <c r="DJ11" s="32" t="s">
        <v>267</v>
      </c>
      <c r="DK11" s="30">
        <f>IFERROR((VLOOKUP(DE11,Scoring!$A:$B,2,0))+IF(DG11="y",1,0)+IF(DH11="y",1,0)+IF(DI11="y",1,0)+IF(DJ11="y",1,0),0)</f>
        <v>3</v>
      </c>
      <c r="DL11" s="24">
        <v>14.0</v>
      </c>
      <c r="DM11" s="25">
        <v>15.0</v>
      </c>
      <c r="DN11" s="26" t="s">
        <v>267</v>
      </c>
      <c r="DO11" s="27" t="s">
        <v>267</v>
      </c>
      <c r="DP11" s="28" t="s">
        <v>267</v>
      </c>
      <c r="DQ11" s="32" t="s">
        <v>267</v>
      </c>
      <c r="DR11" s="30">
        <f>IFERROR((VLOOKUP(DL11,Scoring!$A:$B,2,0))+IF(DN11="y",1,0)+IF(DO11="y",1,0)+IF(DP11="y",1,0)+IF(DQ11="y",1,0),0)</f>
        <v>1</v>
      </c>
      <c r="DS11" s="13">
        <v>0.0</v>
      </c>
    </row>
    <row r="12">
      <c r="A12" s="33" t="s">
        <v>37</v>
      </c>
      <c r="B12" s="34" t="s">
        <v>38</v>
      </c>
      <c r="C12" s="35" t="s">
        <v>39</v>
      </c>
      <c r="D12" s="36">
        <v>6.0</v>
      </c>
      <c r="E12" s="37">
        <v>9.0</v>
      </c>
      <c r="F12" s="38" t="s">
        <v>267</v>
      </c>
      <c r="G12" s="39" t="s">
        <v>267</v>
      </c>
      <c r="H12" s="40" t="s">
        <v>267</v>
      </c>
      <c r="I12" s="41" t="s">
        <v>267</v>
      </c>
      <c r="J12" s="42">
        <f>IFERROR((VLOOKUP(D12,Scoring!$A:$B,2,0))+IF(F12="y",1,0)+IF(G12="y",1,0)+IF(H12="y",1,0)+IF(I12="y",1,0),0)</f>
        <v>8</v>
      </c>
      <c r="K12" s="36">
        <v>12.0</v>
      </c>
      <c r="L12" s="37">
        <v>13.0</v>
      </c>
      <c r="M12" s="38" t="s">
        <v>267</v>
      </c>
      <c r="N12" s="39" t="s">
        <v>267</v>
      </c>
      <c r="O12" s="40" t="s">
        <v>267</v>
      </c>
      <c r="P12" s="41" t="s">
        <v>267</v>
      </c>
      <c r="Q12" s="43">
        <f>IFERROR((VLOOKUP(K12,Scoring!$D:$E,2,0))+IF(M12="y",1,0)+IF(N12="y",1,0)+IF(O12="y",1,0)+IF(P12="y",1,0),0)</f>
        <v>0.5</v>
      </c>
      <c r="R12" s="36">
        <v>4.0</v>
      </c>
      <c r="S12" s="37">
        <v>4.0</v>
      </c>
      <c r="T12" s="38" t="s">
        <v>267</v>
      </c>
      <c r="U12" s="39" t="s">
        <v>267</v>
      </c>
      <c r="V12" s="40" t="s">
        <v>267</v>
      </c>
      <c r="W12" s="41" t="s">
        <v>267</v>
      </c>
      <c r="X12" s="42">
        <f>IFERROR((VLOOKUP(R12,Scoring!$A:$B,2,0))+IF(T12="y",1,0)+IF(U12="y",1,0)+IF(V12="y",1,0)+IF(W12="y",1,0),0)</f>
        <v>12</v>
      </c>
      <c r="Y12" s="36">
        <v>7.0</v>
      </c>
      <c r="Z12" s="37">
        <v>9.0</v>
      </c>
      <c r="AA12" s="38" t="s">
        <v>267</v>
      </c>
      <c r="AB12" s="39" t="s">
        <v>267</v>
      </c>
      <c r="AC12" s="40" t="s">
        <v>267</v>
      </c>
      <c r="AD12" s="41" t="s">
        <v>267</v>
      </c>
      <c r="AE12" s="42">
        <f>IFERROR((VLOOKUP(Y12,Scoring!$A:$B,2,0))+IF(AA12="y",1,0)+IF(AB12="y",1,0)+IF(AC12="y",1,0)+IF(AD12="y",1,0),0)</f>
        <v>6</v>
      </c>
      <c r="AF12" s="36">
        <v>22.0</v>
      </c>
      <c r="AG12" s="37">
        <v>22.0</v>
      </c>
      <c r="AH12" s="38" t="s">
        <v>267</v>
      </c>
      <c r="AI12" s="39" t="s">
        <v>267</v>
      </c>
      <c r="AJ12" s="40" t="s">
        <v>267</v>
      </c>
      <c r="AK12" s="44" t="s">
        <v>267</v>
      </c>
      <c r="AL12" s="42">
        <f>IFERROR((VLOOKUP(AF12,Scoring!$A:$B,2,0))+IF(AH12="y",1,0)+IF(AI12="y",1,0)+IF(AJ12="y",1,0)+IF(AK12="y",1,0),0)</f>
        <v>0</v>
      </c>
      <c r="AM12" s="36">
        <v>6.0</v>
      </c>
      <c r="AN12" s="37">
        <v>10.0</v>
      </c>
      <c r="AO12" s="38" t="s">
        <v>267</v>
      </c>
      <c r="AP12" s="39" t="s">
        <v>267</v>
      </c>
      <c r="AQ12" s="40" t="s">
        <v>267</v>
      </c>
      <c r="AR12" s="44" t="s">
        <v>267</v>
      </c>
      <c r="AS12" s="42">
        <f>IFERROR((VLOOKUP(AM12,Scoring!$A:$B,2,0))+IF(AO12="y",1,0)+IF(AP12="y",1,0)+IF(AQ12="y",1,0)+IF(AR12="y",1,0),0)</f>
        <v>8</v>
      </c>
      <c r="AT12" s="36">
        <v>8.0</v>
      </c>
      <c r="AU12" s="37">
        <v>11.0</v>
      </c>
      <c r="AV12" s="38" t="s">
        <v>267</v>
      </c>
      <c r="AW12" s="39" t="s">
        <v>267</v>
      </c>
      <c r="AX12" s="40" t="s">
        <v>267</v>
      </c>
      <c r="AY12" s="44" t="s">
        <v>267</v>
      </c>
      <c r="AZ12" s="42">
        <f>IFERROR((VLOOKUP(AT12,Scoring!$A:$B,2,0))+IF(AV12="y",1,0)+IF(AW12="y",1,0)+IF(AX12="y",1,0)+IF(AY12="y",1,0),0)</f>
        <v>4</v>
      </c>
      <c r="BA12" s="36">
        <v>8.0</v>
      </c>
      <c r="BB12" s="37">
        <v>13.0</v>
      </c>
      <c r="BC12" s="38" t="s">
        <v>267</v>
      </c>
      <c r="BD12" s="39" t="s">
        <v>267</v>
      </c>
      <c r="BE12" s="40" t="s">
        <v>267</v>
      </c>
      <c r="BF12" s="44" t="s">
        <v>267</v>
      </c>
      <c r="BG12" s="42">
        <f>IFERROR((VLOOKUP(BA12,Scoring!$D:$E,2,0))+IF(BC12="y",1,0)+IF(BD12="y",1,0)+IF(BE12="y",1,0)+IF(BF12="y",1,0),0)</f>
        <v>1</v>
      </c>
      <c r="BH12" s="36">
        <v>11.0</v>
      </c>
      <c r="BI12" s="37">
        <v>8.0</v>
      </c>
      <c r="BJ12" s="38" t="s">
        <v>267</v>
      </c>
      <c r="BK12" s="39" t="s">
        <v>267</v>
      </c>
      <c r="BL12" s="40" t="s">
        <v>267</v>
      </c>
      <c r="BM12" s="44" t="s">
        <v>267</v>
      </c>
      <c r="BN12" s="42">
        <f>IFERROR((VLOOKUP(BH12,Scoring!$A:$B,2,0))+IF(BJ12="y",1,0)+IF(BK12="y",1,0)+IF(BL12="y",1,0)+IF(BM12="y",1,0),0)</f>
        <v>1</v>
      </c>
      <c r="BO12" s="36">
        <v>15.0</v>
      </c>
      <c r="BP12" s="37">
        <v>15.0</v>
      </c>
      <c r="BQ12" s="38" t="s">
        <v>267</v>
      </c>
      <c r="BR12" s="39" t="s">
        <v>267</v>
      </c>
      <c r="BS12" s="40" t="s">
        <v>267</v>
      </c>
      <c r="BT12" s="44" t="s">
        <v>267</v>
      </c>
      <c r="BU12" s="42">
        <f>IFERROR((VLOOKUP(BO12,Scoring!$D:$E,2,0))+IF(BQ12="y",1,0)+IF(BR12="y",1,0)+IF(BS12="y",1,0)+IF(BT12="y",1,0),0)</f>
        <v>0.5</v>
      </c>
      <c r="BV12" s="36">
        <v>13.0</v>
      </c>
      <c r="BW12" s="37">
        <v>5.0</v>
      </c>
      <c r="BX12" s="38" t="s">
        <v>267</v>
      </c>
      <c r="BY12" s="39" t="s">
        <v>267</v>
      </c>
      <c r="BZ12" s="40" t="s">
        <v>267</v>
      </c>
      <c r="CA12" s="44" t="s">
        <v>267</v>
      </c>
      <c r="CB12" s="42">
        <f>IFERROR((VLOOKUP(BV12,Scoring!$A:$B,2,0))+IF(BX12="y",1,0)+IF(BY12="y",1,0)+IF(BZ12="y",1,0)+IF(CA12="y",1,0),0)</f>
        <v>1</v>
      </c>
      <c r="CC12" s="36">
        <v>6.0</v>
      </c>
      <c r="CD12" s="37">
        <v>13.0</v>
      </c>
      <c r="CE12" s="38" t="s">
        <v>267</v>
      </c>
      <c r="CF12" s="39" t="s">
        <v>267</v>
      </c>
      <c r="CG12" s="40" t="s">
        <v>267</v>
      </c>
      <c r="CH12" s="44" t="s">
        <v>267</v>
      </c>
      <c r="CI12" s="42">
        <f>IFERROR((VLOOKUP(CC12,Scoring!$A:$B,2,0))+IF(CE12="y",1,0)+IF(CF12="y",1,0)+IF(CG12="y",1,0)+IF(CH12="y",1,0),0)</f>
        <v>8</v>
      </c>
      <c r="CJ12" s="36">
        <v>9.0</v>
      </c>
      <c r="CK12" s="37">
        <v>22.0</v>
      </c>
      <c r="CL12" s="38" t="s">
        <v>267</v>
      </c>
      <c r="CM12" s="39" t="s">
        <v>267</v>
      </c>
      <c r="CN12" s="40" t="s">
        <v>267</v>
      </c>
      <c r="CO12" s="44" t="s">
        <v>267</v>
      </c>
      <c r="CP12" s="42">
        <f>IFERROR((VLOOKUP(CJ12,Scoring!$A:$B,2,0))+IF(CL12="y",1,0)+IF(CM12="y",1,0)+IF(CN12="y",1,0)+IF(CO12="y",1,0),0)</f>
        <v>3</v>
      </c>
      <c r="CQ12" s="36">
        <v>5.0</v>
      </c>
      <c r="CR12" s="37">
        <v>7.0</v>
      </c>
      <c r="CS12" s="38" t="s">
        <v>267</v>
      </c>
      <c r="CT12" s="39" t="s">
        <v>267</v>
      </c>
      <c r="CU12" s="40" t="s">
        <v>267</v>
      </c>
      <c r="CV12" s="44" t="s">
        <v>267</v>
      </c>
      <c r="CW12" s="42">
        <f>IFERROR((VLOOKUP(CQ12,Scoring!$A:$B,2,0))+IF(CS12="y",1,0)+IF(CT12="y",1,0)+IF(CU12="y",1,0)+IF(CV12="y",1,0),0)</f>
        <v>10</v>
      </c>
      <c r="CX12" s="36">
        <v>6.0</v>
      </c>
      <c r="CY12" s="37">
        <v>6.0</v>
      </c>
      <c r="CZ12" s="38" t="s">
        <v>267</v>
      </c>
      <c r="DA12" s="39" t="s">
        <v>267</v>
      </c>
      <c r="DB12" s="40" t="s">
        <v>267</v>
      </c>
      <c r="DC12" s="44" t="s">
        <v>267</v>
      </c>
      <c r="DD12" s="42">
        <f>IFERROR((VLOOKUP(CX12,Scoring!$A:$B,2,0))+IF(CZ12="y",1,0)+IF(DA12="y",1,0)+IF(DB12="y",1,0)+IF(DC12="y",1,0),0)</f>
        <v>8</v>
      </c>
      <c r="DE12" s="36">
        <v>22.0</v>
      </c>
      <c r="DF12" s="37">
        <v>22.0</v>
      </c>
      <c r="DG12" s="38" t="s">
        <v>267</v>
      </c>
      <c r="DH12" s="39" t="s">
        <v>267</v>
      </c>
      <c r="DI12" s="40" t="s">
        <v>267</v>
      </c>
      <c r="DJ12" s="44" t="s">
        <v>267</v>
      </c>
      <c r="DK12" s="42">
        <f>IFERROR((VLOOKUP(DE12,Scoring!$A:$B,2,0))+IF(DG12="y",1,0)+IF(DH12="y",1,0)+IF(DI12="y",1,0)+IF(DJ12="y",1,0),0)</f>
        <v>0</v>
      </c>
      <c r="DL12" s="36">
        <v>10.0</v>
      </c>
      <c r="DM12" s="37">
        <v>14.0</v>
      </c>
      <c r="DN12" s="38" t="s">
        <v>267</v>
      </c>
      <c r="DO12" s="39" t="s">
        <v>267</v>
      </c>
      <c r="DP12" s="40" t="s">
        <v>267</v>
      </c>
      <c r="DQ12" s="44" t="s">
        <v>267</v>
      </c>
      <c r="DR12" s="42">
        <f>IFERROR((VLOOKUP(DL12,Scoring!$A:$B,2,0))+IF(DN12="y",1,0)+IF(DO12="y",1,0)+IF(DP12="y",1,0)+IF(DQ12="y",1,0),0)</f>
        <v>2</v>
      </c>
      <c r="DS12" s="13">
        <v>0.0</v>
      </c>
    </row>
    <row r="13">
      <c r="A13" s="45" t="s">
        <v>37</v>
      </c>
      <c r="B13" s="46" t="s">
        <v>40</v>
      </c>
      <c r="C13" s="47" t="s">
        <v>41</v>
      </c>
      <c r="D13" s="48">
        <v>11.0</v>
      </c>
      <c r="E13" s="49">
        <v>15.0</v>
      </c>
      <c r="F13" s="50" t="s">
        <v>267</v>
      </c>
      <c r="G13" s="51" t="s">
        <v>267</v>
      </c>
      <c r="H13" s="52" t="s">
        <v>267</v>
      </c>
      <c r="I13" s="53" t="s">
        <v>267</v>
      </c>
      <c r="J13" s="54">
        <f>IFERROR((VLOOKUP(D13,Scoring!$A:$B,2,0))+IF(F13="y",1,0)+IF(G13="y",1,0)+IF(H13="y",1,0)+IF(I13="y",1,0),0)</f>
        <v>1</v>
      </c>
      <c r="K13" s="48">
        <v>11.0</v>
      </c>
      <c r="L13" s="49">
        <v>12.0</v>
      </c>
      <c r="M13" s="50" t="s">
        <v>267</v>
      </c>
      <c r="N13" s="51" t="s">
        <v>267</v>
      </c>
      <c r="O13" s="52" t="s">
        <v>267</v>
      </c>
      <c r="P13" s="53" t="s">
        <v>267</v>
      </c>
      <c r="Q13" s="55">
        <f>IFERROR((VLOOKUP(K13,Scoring!$D:$E,2,0))+IF(M13="y",1,0)+IF(N13="y",1,0)+IF(O13="y",1,0)+IF(P13="y",1,0),0)</f>
        <v>0.5</v>
      </c>
      <c r="R13" s="48">
        <v>10.0</v>
      </c>
      <c r="S13" s="49">
        <v>5.0</v>
      </c>
      <c r="T13" s="50" t="s">
        <v>267</v>
      </c>
      <c r="U13" s="51" t="s">
        <v>267</v>
      </c>
      <c r="V13" s="52" t="s">
        <v>267</v>
      </c>
      <c r="W13" s="53" t="s">
        <v>267</v>
      </c>
      <c r="X13" s="54">
        <f>IFERROR((VLOOKUP(R13,Scoring!$A:$B,2,0))+IF(T13="y",1,0)+IF(U13="y",1,0)+IF(V13="y",1,0)+IF(W13="y",1,0),0)</f>
        <v>2</v>
      </c>
      <c r="Y13" s="48">
        <v>12.0</v>
      </c>
      <c r="Z13" s="49">
        <v>10.0</v>
      </c>
      <c r="AA13" s="50" t="s">
        <v>267</v>
      </c>
      <c r="AB13" s="51" t="s">
        <v>267</v>
      </c>
      <c r="AC13" s="52" t="s">
        <v>267</v>
      </c>
      <c r="AD13" s="53" t="s">
        <v>267</v>
      </c>
      <c r="AE13" s="54">
        <f>IFERROR((VLOOKUP(Y13,Scoring!$A:$B,2,0))+IF(AA13="y",1,0)+IF(AB13="y",1,0)+IF(AC13="y",1,0)+IF(AD13="y",1,0),0)</f>
        <v>1</v>
      </c>
      <c r="AF13" s="48">
        <v>11.0</v>
      </c>
      <c r="AG13" s="49">
        <v>9.0</v>
      </c>
      <c r="AH13" s="50" t="s">
        <v>267</v>
      </c>
      <c r="AI13" s="51" t="s">
        <v>267</v>
      </c>
      <c r="AJ13" s="52" t="s">
        <v>267</v>
      </c>
      <c r="AK13" s="56" t="s">
        <v>267</v>
      </c>
      <c r="AL13" s="54">
        <f>IFERROR((VLOOKUP(AF13,Scoring!$A:$B,2,0))+IF(AH13="y",1,0)+IF(AI13="y",1,0)+IF(AJ13="y",1,0)+IF(AK13="y",1,0),0)</f>
        <v>1</v>
      </c>
      <c r="AM13" s="48">
        <v>10.0</v>
      </c>
      <c r="AN13" s="49">
        <v>8.0</v>
      </c>
      <c r="AO13" s="50" t="s">
        <v>267</v>
      </c>
      <c r="AP13" s="51" t="s">
        <v>267</v>
      </c>
      <c r="AQ13" s="52" t="s">
        <v>267</v>
      </c>
      <c r="AR13" s="56" t="s">
        <v>267</v>
      </c>
      <c r="AS13" s="54">
        <f>IFERROR((VLOOKUP(AM13,Scoring!$A:$B,2,0))+IF(AO13="y",1,0)+IF(AP13="y",1,0)+IF(AQ13="y",1,0)+IF(AR13="y",1,0),0)</f>
        <v>2</v>
      </c>
      <c r="AT13" s="48">
        <v>11.0</v>
      </c>
      <c r="AU13" s="49">
        <v>8.0</v>
      </c>
      <c r="AV13" s="50" t="s">
        <v>267</v>
      </c>
      <c r="AW13" s="51" t="s">
        <v>267</v>
      </c>
      <c r="AX13" s="52" t="s">
        <v>267</v>
      </c>
      <c r="AY13" s="56" t="s">
        <v>267</v>
      </c>
      <c r="AZ13" s="54">
        <f>IFERROR((VLOOKUP(AT13,Scoring!$A:$B,2,0))+IF(AV13="y",1,0)+IF(AW13="y",1,0)+IF(AX13="y",1,0)+IF(AY13="y",1,0),0)</f>
        <v>1</v>
      </c>
      <c r="BA13" s="48">
        <v>14.0</v>
      </c>
      <c r="BB13" s="49">
        <v>15.0</v>
      </c>
      <c r="BC13" s="50" t="s">
        <v>267</v>
      </c>
      <c r="BD13" s="51" t="s">
        <v>267</v>
      </c>
      <c r="BE13" s="52" t="s">
        <v>267</v>
      </c>
      <c r="BF13" s="56" t="s">
        <v>267</v>
      </c>
      <c r="BG13" s="54">
        <f>IFERROR((VLOOKUP(BA13,Scoring!$D:$E,2,0))+IF(BC13="y",1,0)+IF(BD13="y",1,0)+IF(BE13="y",1,0)+IF(BF13="y",1,0),0)</f>
        <v>0.5</v>
      </c>
      <c r="BH13" s="48">
        <v>21.0</v>
      </c>
      <c r="BI13" s="49">
        <v>5.0</v>
      </c>
      <c r="BJ13" s="50" t="s">
        <v>267</v>
      </c>
      <c r="BK13" s="51" t="s">
        <v>267</v>
      </c>
      <c r="BL13" s="52" t="s">
        <v>267</v>
      </c>
      <c r="BM13" s="56" t="s">
        <v>267</v>
      </c>
      <c r="BN13" s="54">
        <f>IFERROR((VLOOKUP(BH13,Scoring!$A:$B,2,0))+IF(BJ13="y",1,0)+IF(BK13="y",1,0)+IF(BL13="y",1,0)+IF(BM13="y",1,0),0)</f>
        <v>0</v>
      </c>
      <c r="BO13" s="48">
        <v>7.0</v>
      </c>
      <c r="BP13" s="49">
        <v>10.0</v>
      </c>
      <c r="BQ13" s="50" t="s">
        <v>267</v>
      </c>
      <c r="BR13" s="51" t="s">
        <v>267</v>
      </c>
      <c r="BS13" s="52" t="s">
        <v>267</v>
      </c>
      <c r="BT13" s="56" t="s">
        <v>267</v>
      </c>
      <c r="BU13" s="54">
        <f>IFERROR((VLOOKUP(BO13,Scoring!$D:$E,2,0))+IF(BQ13="y",1,0)+IF(BR13="y",1,0)+IF(BS13="y",1,0)+IF(BT13="y",1,0),0)</f>
        <v>2</v>
      </c>
      <c r="BV13" s="48">
        <v>7.0</v>
      </c>
      <c r="BW13" s="49">
        <v>14.0</v>
      </c>
      <c r="BX13" s="50" t="s">
        <v>267</v>
      </c>
      <c r="BY13" s="51" t="s">
        <v>267</v>
      </c>
      <c r="BZ13" s="52" t="s">
        <v>267</v>
      </c>
      <c r="CA13" s="56" t="s">
        <v>267</v>
      </c>
      <c r="CB13" s="54">
        <f>IFERROR((VLOOKUP(BV13,Scoring!$A:$B,2,0))+IF(BX13="y",1,0)+IF(BY13="y",1,0)+IF(BZ13="y",1,0)+IF(CA13="y",1,0),0)</f>
        <v>6</v>
      </c>
      <c r="CC13" s="48">
        <v>9.0</v>
      </c>
      <c r="CD13" s="49">
        <v>8.0</v>
      </c>
      <c r="CE13" s="50" t="s">
        <v>267</v>
      </c>
      <c r="CF13" s="51" t="s">
        <v>267</v>
      </c>
      <c r="CG13" s="52" t="s">
        <v>267</v>
      </c>
      <c r="CH13" s="56" t="s">
        <v>267</v>
      </c>
      <c r="CI13" s="54">
        <f>IFERROR((VLOOKUP(CC13,Scoring!$A:$B,2,0))+IF(CE13="y",1,0)+IF(CF13="y",1,0)+IF(CG13="y",1,0)+IF(CH13="y",1,0),0)</f>
        <v>3</v>
      </c>
      <c r="CJ13" s="48">
        <v>8.0</v>
      </c>
      <c r="CK13" s="49">
        <v>5.0</v>
      </c>
      <c r="CL13" s="50" t="s">
        <v>267</v>
      </c>
      <c r="CM13" s="51" t="s">
        <v>267</v>
      </c>
      <c r="CN13" s="52" t="s">
        <v>267</v>
      </c>
      <c r="CO13" s="56" t="s">
        <v>267</v>
      </c>
      <c r="CP13" s="54">
        <f>IFERROR((VLOOKUP(CJ13,Scoring!$A:$B,2,0))+IF(CL13="y",1,0)+IF(CM13="y",1,0)+IF(CN13="y",1,0)+IF(CO13="y",1,0),0)</f>
        <v>4</v>
      </c>
      <c r="CQ13" s="48">
        <v>6.0</v>
      </c>
      <c r="CR13" s="49">
        <v>5.0</v>
      </c>
      <c r="CS13" s="50" t="s">
        <v>267</v>
      </c>
      <c r="CT13" s="51" t="s">
        <v>267</v>
      </c>
      <c r="CU13" s="52" t="s">
        <v>267</v>
      </c>
      <c r="CV13" s="56" t="s">
        <v>267</v>
      </c>
      <c r="CW13" s="54">
        <f>IFERROR((VLOOKUP(CQ13,Scoring!$A:$B,2,0))+IF(CS13="y",1,0)+IF(CT13="y",1,0)+IF(CU13="y",1,0)+IF(CV13="y",1,0),0)</f>
        <v>8</v>
      </c>
      <c r="CX13" s="48">
        <v>4.0</v>
      </c>
      <c r="CY13" s="49">
        <v>9.0</v>
      </c>
      <c r="CZ13" s="50" t="s">
        <v>267</v>
      </c>
      <c r="DA13" s="51" t="s">
        <v>267</v>
      </c>
      <c r="DB13" s="52" t="s">
        <v>266</v>
      </c>
      <c r="DC13" s="56" t="s">
        <v>267</v>
      </c>
      <c r="DD13" s="54">
        <f>IFERROR((VLOOKUP(CX13,Scoring!$A:$B,2,0))+IF(CZ13="y",1,0)+IF(DA13="y",1,0)+IF(DB13="y",1,0)+IF(DC13="y",1,0),0)</f>
        <v>13</v>
      </c>
      <c r="DE13" s="48">
        <v>7.0</v>
      </c>
      <c r="DF13" s="49">
        <v>6.0</v>
      </c>
      <c r="DG13" s="50" t="s">
        <v>267</v>
      </c>
      <c r="DH13" s="51" t="s">
        <v>267</v>
      </c>
      <c r="DI13" s="52" t="s">
        <v>267</v>
      </c>
      <c r="DJ13" s="56" t="s">
        <v>267</v>
      </c>
      <c r="DK13" s="54">
        <f>IFERROR((VLOOKUP(DE13,Scoring!$A:$B,2,0))+IF(DG13="y",1,0)+IF(DH13="y",1,0)+IF(DI13="y",1,0)+IF(DJ13="y",1,0),0)</f>
        <v>6</v>
      </c>
      <c r="DL13" s="48">
        <v>6.0</v>
      </c>
      <c r="DM13" s="49">
        <v>7.0</v>
      </c>
      <c r="DN13" s="50" t="s">
        <v>267</v>
      </c>
      <c r="DO13" s="51" t="s">
        <v>267</v>
      </c>
      <c r="DP13" s="52" t="s">
        <v>267</v>
      </c>
      <c r="DQ13" s="56" t="s">
        <v>266</v>
      </c>
      <c r="DR13" s="54">
        <f>IFERROR((VLOOKUP(DL13,Scoring!$A:$B,2,0))+IF(DN13="y",1,0)+IF(DO13="y",1,0)+IF(DP13="y",1,0)+IF(DQ13="y",1,0),0)</f>
        <v>9</v>
      </c>
      <c r="DS13" s="13">
        <v>0.0</v>
      </c>
    </row>
    <row r="14">
      <c r="A14" s="14" t="s">
        <v>42</v>
      </c>
      <c r="B14" s="1" t="s">
        <v>269</v>
      </c>
      <c r="C14" s="15" t="s">
        <v>44</v>
      </c>
      <c r="D14" s="24">
        <v>8.0</v>
      </c>
      <c r="E14" s="25">
        <v>1.0</v>
      </c>
      <c r="F14" s="26" t="s">
        <v>267</v>
      </c>
      <c r="G14" s="27" t="s">
        <v>267</v>
      </c>
      <c r="H14" s="28" t="s">
        <v>267</v>
      </c>
      <c r="I14" s="29" t="s">
        <v>267</v>
      </c>
      <c r="J14" s="30">
        <f>IFERROR((VLOOKUP(D14,Scoring!$A:$B,2,0))+IF(F14="y",1,0)+IF(G14="y",1,0)+IF(H14="y",1,0)+IF(I14="y",1,0),0)</f>
        <v>4</v>
      </c>
      <c r="K14" s="24">
        <v>2.0</v>
      </c>
      <c r="L14" s="25">
        <v>4.0</v>
      </c>
      <c r="M14" s="26" t="s">
        <v>267</v>
      </c>
      <c r="N14" s="27" t="s">
        <v>267</v>
      </c>
      <c r="O14" s="28" t="s">
        <v>267</v>
      </c>
      <c r="P14" s="29" t="s">
        <v>267</v>
      </c>
      <c r="Q14" s="31">
        <f>IFERROR((VLOOKUP(K14,Scoring!$D:$E,2,0))+IF(M14="y",1,0)+IF(N14="y",1,0)+IF(O14="y",1,0)+IF(P14="y",1,0),0)</f>
        <v>7</v>
      </c>
      <c r="R14" s="24">
        <v>8.0</v>
      </c>
      <c r="S14" s="25">
        <v>13.0</v>
      </c>
      <c r="T14" s="26" t="s">
        <v>267</v>
      </c>
      <c r="U14" s="27" t="s">
        <v>267</v>
      </c>
      <c r="V14" s="28" t="s">
        <v>267</v>
      </c>
      <c r="W14" s="29" t="s">
        <v>267</v>
      </c>
      <c r="X14" s="30">
        <f>IFERROR((VLOOKUP(R14,Scoring!$A:$B,2,0))+IF(T14="y",1,0)+IF(U14="y",1,0)+IF(V14="y",1,0)+IF(W14="y",1,0),0)</f>
        <v>4</v>
      </c>
      <c r="Y14" s="24">
        <v>9.0</v>
      </c>
      <c r="Z14" s="25">
        <v>5.0</v>
      </c>
      <c r="AA14" s="26" t="s">
        <v>267</v>
      </c>
      <c r="AB14" s="27" t="s">
        <v>267</v>
      </c>
      <c r="AC14" s="28" t="s">
        <v>267</v>
      </c>
      <c r="AD14" s="29" t="s">
        <v>267</v>
      </c>
      <c r="AE14" s="30">
        <f>IFERROR((VLOOKUP(Y14,Scoring!$A:$B,2,0))+IF(AA14="y",1,0)+IF(AB14="y",1,0)+IF(AC14="y",1,0)+IF(AD14="y",1,0),0)</f>
        <v>3</v>
      </c>
      <c r="AF14" s="24">
        <v>2.0</v>
      </c>
      <c r="AG14" s="25">
        <v>5.0</v>
      </c>
      <c r="AH14" s="26" t="s">
        <v>266</v>
      </c>
      <c r="AI14" s="27" t="s">
        <v>266</v>
      </c>
      <c r="AJ14" s="28" t="s">
        <v>267</v>
      </c>
      <c r="AK14" s="32" t="s">
        <v>267</v>
      </c>
      <c r="AL14" s="30">
        <f>IFERROR((VLOOKUP(AF14,Scoring!$A:$B,2,0))+IF(AH14="y",1,0)+IF(AI14="y",1,0)+IF(AJ14="y",1,0)+IF(AK14="y",1,0),0)</f>
        <v>20</v>
      </c>
      <c r="AM14" s="24">
        <v>4.0</v>
      </c>
      <c r="AN14" s="25">
        <v>3.0</v>
      </c>
      <c r="AO14" s="26" t="s">
        <v>267</v>
      </c>
      <c r="AP14" s="27" t="s">
        <v>267</v>
      </c>
      <c r="AQ14" s="28" t="s">
        <v>267</v>
      </c>
      <c r="AR14" s="32" t="s">
        <v>266</v>
      </c>
      <c r="AS14" s="30">
        <f>IFERROR((VLOOKUP(AM14,Scoring!$A:$B,2,0))+IF(AO14="y",1,0)+IF(AP14="y",1,0)+IF(AQ14="y",1,0)+IF(AR14="y",1,0),0)</f>
        <v>13</v>
      </c>
      <c r="AT14" s="24">
        <v>5.0</v>
      </c>
      <c r="AU14" s="25">
        <v>3.0</v>
      </c>
      <c r="AV14" s="26" t="s">
        <v>267</v>
      </c>
      <c r="AW14" s="27" t="s">
        <v>267</v>
      </c>
      <c r="AX14" s="28" t="s">
        <v>267</v>
      </c>
      <c r="AY14" s="32" t="s">
        <v>267</v>
      </c>
      <c r="AZ14" s="30">
        <f>IFERROR((VLOOKUP(AT14,Scoring!$A:$B,2,0))+IF(AV14="y",1,0)+IF(AW14="y",1,0)+IF(AX14="y",1,0)+IF(AY14="y",1,0),0)</f>
        <v>10</v>
      </c>
      <c r="BA14" s="24">
        <v>1.0</v>
      </c>
      <c r="BB14" s="25">
        <v>3.0</v>
      </c>
      <c r="BC14" s="26" t="s">
        <v>267</v>
      </c>
      <c r="BD14" s="27" t="s">
        <v>267</v>
      </c>
      <c r="BE14" s="28" t="s">
        <v>267</v>
      </c>
      <c r="BF14" s="32" t="s">
        <v>267</v>
      </c>
      <c r="BG14" s="30">
        <f>IFERROR((VLOOKUP(BA14,Scoring!$D:$E,2,0))+IF(BC14="y",1,0)+IF(BD14="y",1,0)+IF(BE14="y",1,0)+IF(BF14="y",1,0),0)</f>
        <v>8</v>
      </c>
      <c r="BH14" s="24">
        <v>7.0</v>
      </c>
      <c r="BI14" s="25">
        <v>15.0</v>
      </c>
      <c r="BJ14" s="26" t="s">
        <v>267</v>
      </c>
      <c r="BK14" s="27" t="s">
        <v>267</v>
      </c>
      <c r="BL14" s="28" t="s">
        <v>267</v>
      </c>
      <c r="BM14" s="32" t="s">
        <v>267</v>
      </c>
      <c r="BN14" s="30">
        <f>IFERROR((VLOOKUP(BH14,Scoring!$A:$B,2,0))+IF(BJ14="y",1,0)+IF(BK14="y",1,0)+IF(BL14="y",1,0)+IF(BM14="y",1,0),0)</f>
        <v>6</v>
      </c>
      <c r="BO14" s="24">
        <v>6.0</v>
      </c>
      <c r="BP14" s="25">
        <v>3.0</v>
      </c>
      <c r="BQ14" s="26" t="s">
        <v>267</v>
      </c>
      <c r="BR14" s="27" t="s">
        <v>267</v>
      </c>
      <c r="BS14" s="28" t="s">
        <v>267</v>
      </c>
      <c r="BT14" s="32" t="s">
        <v>267</v>
      </c>
      <c r="BU14" s="30">
        <f>IFERROR((VLOOKUP(BO14,Scoring!$D:$E,2,0))+IF(BQ14="y",1,0)+IF(BR14="y",1,0)+IF(BS14="y",1,0)+IF(BT14="y",1,0),0)</f>
        <v>3</v>
      </c>
      <c r="BV14" s="24">
        <v>1.0</v>
      </c>
      <c r="BW14" s="25">
        <v>9.0</v>
      </c>
      <c r="BX14" s="26" t="s">
        <v>267</v>
      </c>
      <c r="BY14" s="27" t="s">
        <v>267</v>
      </c>
      <c r="BZ14" s="28" t="s">
        <v>267</v>
      </c>
      <c r="CA14" s="32" t="s">
        <v>266</v>
      </c>
      <c r="CB14" s="30">
        <f>IFERROR((VLOOKUP(BV14,Scoring!$A:$B,2,0))+IF(BX14="y",1,0)+IF(BY14="y",1,0)+IF(BZ14="y",1,0)+IF(CA14="y",1,0),0)</f>
        <v>26</v>
      </c>
      <c r="CC14" s="24">
        <v>3.0</v>
      </c>
      <c r="CD14" s="25">
        <v>2.0</v>
      </c>
      <c r="CE14" s="26" t="s">
        <v>267</v>
      </c>
      <c r="CF14" s="27" t="s">
        <v>267</v>
      </c>
      <c r="CG14" s="28" t="s">
        <v>267</v>
      </c>
      <c r="CH14" s="32" t="s">
        <v>267</v>
      </c>
      <c r="CI14" s="30">
        <f>IFERROR((VLOOKUP(CC14,Scoring!$A:$B,2,0))+IF(CE14="y",1,0)+IF(CF14="y",1,0)+IF(CG14="y",1,0)+IF(CH14="y",1,0),0)</f>
        <v>15</v>
      </c>
      <c r="CJ14" s="24">
        <v>3.0</v>
      </c>
      <c r="CK14" s="25">
        <v>10.0</v>
      </c>
      <c r="CL14" s="26" t="s">
        <v>267</v>
      </c>
      <c r="CM14" s="27" t="s">
        <v>266</v>
      </c>
      <c r="CN14" s="28" t="s">
        <v>267</v>
      </c>
      <c r="CO14" s="32" t="s">
        <v>267</v>
      </c>
      <c r="CP14" s="30">
        <f>IFERROR((VLOOKUP(CJ14,Scoring!$A:$B,2,0))+IF(CL14="y",1,0)+IF(CM14="y",1,0)+IF(CN14="y",1,0)+IF(CO14="y",1,0),0)</f>
        <v>16</v>
      </c>
      <c r="CQ14" s="24">
        <v>22.0</v>
      </c>
      <c r="CR14" s="25">
        <v>22.0</v>
      </c>
      <c r="CS14" s="26" t="s">
        <v>267</v>
      </c>
      <c r="CT14" s="27" t="s">
        <v>267</v>
      </c>
      <c r="CU14" s="28" t="s">
        <v>267</v>
      </c>
      <c r="CV14" s="32" t="s">
        <v>267</v>
      </c>
      <c r="CW14" s="30">
        <f>IFERROR((VLOOKUP(CQ14,Scoring!$A:$B,2,0))+IF(CS14="y",1,0)+IF(CT14="y",1,0)+IF(CU14="y",1,0)+IF(CV14="y",1,0),0)</f>
        <v>0</v>
      </c>
      <c r="CX14" s="24">
        <v>22.0</v>
      </c>
      <c r="CY14" s="25">
        <v>22.0</v>
      </c>
      <c r="CZ14" s="26" t="s">
        <v>267</v>
      </c>
      <c r="DA14" s="27" t="s">
        <v>267</v>
      </c>
      <c r="DB14" s="28" t="s">
        <v>267</v>
      </c>
      <c r="DC14" s="32" t="s">
        <v>267</v>
      </c>
      <c r="DD14" s="30">
        <f>IFERROR((VLOOKUP(CX14,Scoring!$A:$B,2,0))+IF(CZ14="y",1,0)+IF(DA14="y",1,0)+IF(DB14="y",1,0)+IF(DC14="y",1,0),0)</f>
        <v>0</v>
      </c>
      <c r="DE14" s="24">
        <v>4.0</v>
      </c>
      <c r="DF14" s="25">
        <v>5.0</v>
      </c>
      <c r="DG14" s="26" t="s">
        <v>267</v>
      </c>
      <c r="DH14" s="27" t="s">
        <v>267</v>
      </c>
      <c r="DI14" s="28" t="s">
        <v>267</v>
      </c>
      <c r="DJ14" s="32" t="s">
        <v>267</v>
      </c>
      <c r="DK14" s="30">
        <f>IFERROR((VLOOKUP(DE14,Scoring!$A:$B,2,0))+IF(DG14="y",1,0)+IF(DH14="y",1,0)+IF(DI14="y",1,0)+IF(DJ14="y",1,0),0)</f>
        <v>12</v>
      </c>
      <c r="DL14" s="24">
        <v>7.0</v>
      </c>
      <c r="DM14" s="25">
        <v>4.0</v>
      </c>
      <c r="DN14" s="26" t="s">
        <v>267</v>
      </c>
      <c r="DO14" s="27" t="s">
        <v>267</v>
      </c>
      <c r="DP14" s="28" t="s">
        <v>267</v>
      </c>
      <c r="DQ14" s="32" t="s">
        <v>267</v>
      </c>
      <c r="DR14" s="30">
        <f>IFERROR((VLOOKUP(DL14,Scoring!$A:$B,2,0))+IF(DN14="y",1,0)+IF(DO14="y",1,0)+IF(DP14="y",1,0)+IF(DQ14="y",1,0),0)</f>
        <v>6</v>
      </c>
      <c r="DS14" s="13">
        <v>0.0</v>
      </c>
    </row>
    <row r="15">
      <c r="A15" s="57" t="s">
        <v>42</v>
      </c>
      <c r="B15" s="58" t="s">
        <v>45</v>
      </c>
      <c r="C15" s="59" t="s">
        <v>46</v>
      </c>
      <c r="D15" s="60">
        <v>21.0</v>
      </c>
      <c r="E15" s="61">
        <v>22.0</v>
      </c>
      <c r="F15" s="62" t="s">
        <v>267</v>
      </c>
      <c r="G15" s="63" t="s">
        <v>267</v>
      </c>
      <c r="H15" s="64" t="s">
        <v>267</v>
      </c>
      <c r="I15" s="65" t="s">
        <v>267</v>
      </c>
      <c r="J15" s="66">
        <f>IFERROR((VLOOKUP(D15,Scoring!$A:$B,2,0))+IF(F15="y",1,0)+IF(G15="y",1,0)+IF(H15="y",1,0)+IF(I15="y",1,0),0)</f>
        <v>0</v>
      </c>
      <c r="K15" s="60">
        <v>1.0</v>
      </c>
      <c r="L15" s="61">
        <v>1.0</v>
      </c>
      <c r="M15" s="62" t="s">
        <v>267</v>
      </c>
      <c r="N15" s="63" t="s">
        <v>267</v>
      </c>
      <c r="O15" s="64" t="s">
        <v>267</v>
      </c>
      <c r="P15" s="65" t="s">
        <v>267</v>
      </c>
      <c r="Q15" s="67">
        <f>IFERROR((VLOOKUP(K15,Scoring!$D:$E,2,0))+IF(M15="y",1,0)+IF(N15="y",1,0)+IF(O15="y",1,0)+IF(P15="y",1,0),0)</f>
        <v>8</v>
      </c>
      <c r="R15" s="60">
        <v>21.0</v>
      </c>
      <c r="S15" s="61">
        <v>14.0</v>
      </c>
      <c r="T15" s="62" t="s">
        <v>267</v>
      </c>
      <c r="U15" s="63" t="s">
        <v>267</v>
      </c>
      <c r="V15" s="64" t="s">
        <v>267</v>
      </c>
      <c r="W15" s="65" t="s">
        <v>267</v>
      </c>
      <c r="X15" s="66">
        <f>IFERROR((VLOOKUP(R15,Scoring!$A:$B,2,0))+IF(T15="y",1,0)+IF(U15="y",1,0)+IF(V15="y",1,0)+IF(W15="y",1,0),0)</f>
        <v>0</v>
      </c>
      <c r="Y15" s="60">
        <v>1.0</v>
      </c>
      <c r="Z15" s="61">
        <v>1.0</v>
      </c>
      <c r="AA15" s="62" t="s">
        <v>267</v>
      </c>
      <c r="AB15" s="63" t="s">
        <v>267</v>
      </c>
      <c r="AC15" s="64" t="s">
        <v>267</v>
      </c>
      <c r="AD15" s="65" t="s">
        <v>267</v>
      </c>
      <c r="AE15" s="66">
        <f>IFERROR((VLOOKUP(Y15,Scoring!$A:$B,2,0))+IF(AA15="y",1,0)+IF(AB15="y",1,0)+IF(AC15="y",1,0)+IF(AD15="y",1,0),0)</f>
        <v>25</v>
      </c>
      <c r="AF15" s="60">
        <v>1.0</v>
      </c>
      <c r="AG15" s="61">
        <v>1.0</v>
      </c>
      <c r="AH15" s="62" t="s">
        <v>267</v>
      </c>
      <c r="AI15" s="63" t="s">
        <v>267</v>
      </c>
      <c r="AJ15" s="64" t="s">
        <v>267</v>
      </c>
      <c r="AK15" s="68" t="s">
        <v>267</v>
      </c>
      <c r="AL15" s="66">
        <f>IFERROR((VLOOKUP(AF15,Scoring!$A:$B,2,0))+IF(AH15="y",1,0)+IF(AI15="y",1,0)+IF(AJ15="y",1,0)+IF(AK15="y",1,0),0)</f>
        <v>25</v>
      </c>
      <c r="AM15" s="60">
        <v>1.0</v>
      </c>
      <c r="AN15" s="61">
        <v>1.0</v>
      </c>
      <c r="AO15" s="62" t="s">
        <v>266</v>
      </c>
      <c r="AP15" s="63" t="s">
        <v>267</v>
      </c>
      <c r="AQ15" s="64" t="s">
        <v>267</v>
      </c>
      <c r="AR15" s="68" t="s">
        <v>267</v>
      </c>
      <c r="AS15" s="66">
        <f>IFERROR((VLOOKUP(AM15,Scoring!$A:$B,2,0))+IF(AO15="y",1,0)+IF(AP15="y",1,0)+IF(AQ15="y",1,0)+IF(AR15="y",1,0),0)</f>
        <v>26</v>
      </c>
      <c r="AT15" s="60">
        <v>1.0</v>
      </c>
      <c r="AU15" s="61">
        <v>4.0</v>
      </c>
      <c r="AV15" s="62" t="s">
        <v>266</v>
      </c>
      <c r="AW15" s="63" t="s">
        <v>267</v>
      </c>
      <c r="AX15" s="64" t="s">
        <v>267</v>
      </c>
      <c r="AY15" s="68" t="s">
        <v>267</v>
      </c>
      <c r="AZ15" s="66">
        <f>IFERROR((VLOOKUP(AT15,Scoring!$A:$B,2,0))+IF(AV15="y",1,0)+IF(AW15="y",1,0)+IF(AX15="y",1,0)+IF(AY15="y",1,0),0)</f>
        <v>26</v>
      </c>
      <c r="BA15" s="60">
        <v>2.0</v>
      </c>
      <c r="BB15" s="61">
        <v>2.0</v>
      </c>
      <c r="BC15" s="62" t="s">
        <v>267</v>
      </c>
      <c r="BD15" s="63" t="s">
        <v>267</v>
      </c>
      <c r="BE15" s="64" t="s">
        <v>267</v>
      </c>
      <c r="BF15" s="68" t="s">
        <v>267</v>
      </c>
      <c r="BG15" s="66">
        <f>IFERROR((VLOOKUP(BA15,Scoring!$D:$E,2,0))+IF(BC15="y",1,0)+IF(BD15="y",1,0)+IF(BE15="y",1,0)+IF(BF15="y",1,0),0)</f>
        <v>7</v>
      </c>
      <c r="BH15" s="60">
        <v>4.0</v>
      </c>
      <c r="BI15" s="61">
        <v>14.0</v>
      </c>
      <c r="BJ15" s="62" t="s">
        <v>267</v>
      </c>
      <c r="BK15" s="63" t="s">
        <v>266</v>
      </c>
      <c r="BL15" s="64" t="s">
        <v>267</v>
      </c>
      <c r="BM15" s="68" t="s">
        <v>267</v>
      </c>
      <c r="BN15" s="66">
        <f>IFERROR((VLOOKUP(BH15,Scoring!$A:$B,2,0))+IF(BJ15="y",1,0)+IF(BK15="y",1,0)+IF(BL15="y",1,0)+IF(BM15="y",1,0),0)</f>
        <v>13</v>
      </c>
      <c r="BO15" s="60">
        <v>2.0</v>
      </c>
      <c r="BP15" s="61">
        <v>2.0</v>
      </c>
      <c r="BQ15" s="62" t="s">
        <v>267</v>
      </c>
      <c r="BR15" s="63" t="s">
        <v>267</v>
      </c>
      <c r="BS15" s="64" t="s">
        <v>267</v>
      </c>
      <c r="BT15" s="68" t="s">
        <v>267</v>
      </c>
      <c r="BU15" s="66">
        <f>IFERROR((VLOOKUP(BO15,Scoring!$D:$E,2,0))+IF(BQ15="y",1,0)+IF(BR15="y",1,0)+IF(BS15="y",1,0)+IF(BT15="y",1,0),0)</f>
        <v>7</v>
      </c>
      <c r="BV15" s="60">
        <v>5.0</v>
      </c>
      <c r="BW15" s="61">
        <v>13.0</v>
      </c>
      <c r="BX15" s="62" t="s">
        <v>266</v>
      </c>
      <c r="BY15" s="63" t="s">
        <v>266</v>
      </c>
      <c r="BZ15" s="64" t="s">
        <v>267</v>
      </c>
      <c r="CA15" s="68" t="s">
        <v>267</v>
      </c>
      <c r="CB15" s="66">
        <f>IFERROR((VLOOKUP(BV15,Scoring!$A:$B,2,0))+IF(BX15="y",1,0)+IF(BY15="y",1,0)+IF(BZ15="y",1,0)+IF(CA15="y",1,0),0)</f>
        <v>12</v>
      </c>
      <c r="CC15" s="60">
        <v>7.0</v>
      </c>
      <c r="CD15" s="61">
        <v>10.0</v>
      </c>
      <c r="CE15" s="62" t="s">
        <v>266</v>
      </c>
      <c r="CF15" s="63" t="s">
        <v>266</v>
      </c>
      <c r="CG15" s="64" t="s">
        <v>267</v>
      </c>
      <c r="CH15" s="68" t="s">
        <v>267</v>
      </c>
      <c r="CI15" s="66">
        <f>IFERROR((VLOOKUP(CC15,Scoring!$A:$B,2,0))+IF(CE15="y",1,0)+IF(CF15="y",1,0)+IF(CG15="y",1,0)+IF(CH15="y",1,0),0)</f>
        <v>8</v>
      </c>
      <c r="CJ15" s="60">
        <v>11.0</v>
      </c>
      <c r="CK15" s="61">
        <v>4.0</v>
      </c>
      <c r="CL15" s="62" t="s">
        <v>267</v>
      </c>
      <c r="CM15" s="63" t="s">
        <v>267</v>
      </c>
      <c r="CN15" s="64" t="s">
        <v>267</v>
      </c>
      <c r="CO15" s="68" t="s">
        <v>266</v>
      </c>
      <c r="CP15" s="66">
        <f>IFERROR((VLOOKUP(CJ15,Scoring!$A:$B,2,0))+IF(CL15="y",1,0)+IF(CM15="y",1,0)+IF(CN15="y",1,0)+IF(CO15="y",1,0),0)</f>
        <v>2</v>
      </c>
      <c r="CQ15" s="60">
        <v>9.0</v>
      </c>
      <c r="CR15" s="61">
        <v>1.0</v>
      </c>
      <c r="CS15" s="62" t="s">
        <v>267</v>
      </c>
      <c r="CT15" s="63" t="s">
        <v>267</v>
      </c>
      <c r="CU15" s="64" t="s">
        <v>267</v>
      </c>
      <c r="CV15" s="68" t="s">
        <v>267</v>
      </c>
      <c r="CW15" s="66">
        <f>IFERROR((VLOOKUP(CQ15,Scoring!$A:$B,2,0))+IF(CS15="y",1,0)+IF(CT15="y",1,0)+IF(CU15="y",1,0)+IF(CV15="y",1,0),0)</f>
        <v>3</v>
      </c>
      <c r="CX15" s="60">
        <v>1.0</v>
      </c>
      <c r="CY15" s="61">
        <v>2.0</v>
      </c>
      <c r="CZ15" s="62" t="s">
        <v>266</v>
      </c>
      <c r="DA15" s="63" t="s">
        <v>267</v>
      </c>
      <c r="DB15" s="64" t="s">
        <v>267</v>
      </c>
      <c r="DC15" s="68" t="s">
        <v>267</v>
      </c>
      <c r="DD15" s="66">
        <f>IFERROR((VLOOKUP(CX15,Scoring!$A:$B,2,0))+IF(CZ15="y",1,0)+IF(DA15="y",1,0)+IF(DB15="y",1,0)+IF(DC15="y",1,0),0)</f>
        <v>26</v>
      </c>
      <c r="DE15" s="60">
        <v>1.0</v>
      </c>
      <c r="DF15" s="61">
        <v>1.0</v>
      </c>
      <c r="DG15" s="62" t="s">
        <v>266</v>
      </c>
      <c r="DH15" s="63" t="s">
        <v>266</v>
      </c>
      <c r="DI15" s="64" t="s">
        <v>267</v>
      </c>
      <c r="DJ15" s="68" t="s">
        <v>267</v>
      </c>
      <c r="DK15" s="66">
        <f>IFERROR((VLOOKUP(DE15,Scoring!$A:$B,2,0))+IF(DG15="y",1,0)+IF(DH15="y",1,0)+IF(DI15="y",1,0)+IF(DJ15="y",1,0),0)</f>
        <v>27</v>
      </c>
      <c r="DL15" s="60">
        <v>1.0</v>
      </c>
      <c r="DM15" s="61">
        <v>1.0</v>
      </c>
      <c r="DN15" s="62" t="s">
        <v>266</v>
      </c>
      <c r="DO15" s="63" t="s">
        <v>267</v>
      </c>
      <c r="DP15" s="64" t="s">
        <v>267</v>
      </c>
      <c r="DQ15" s="68" t="s">
        <v>267</v>
      </c>
      <c r="DR15" s="66">
        <f>IFERROR((VLOOKUP(DL15,Scoring!$A:$B,2,0))+IF(DN15="y",1,0)+IF(DO15="y",1,0)+IF(DP15="y",1,0)+IF(DQ15="y",1,0),0)</f>
        <v>26</v>
      </c>
      <c r="DS15" s="13">
        <v>0.0</v>
      </c>
    </row>
    <row r="18">
      <c r="DP18" s="1" t="s">
        <v>270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47</v>
      </c>
      <c r="B1" s="1" t="s">
        <v>192</v>
      </c>
      <c r="C1" s="1" t="s">
        <v>271</v>
      </c>
    </row>
    <row r="2">
      <c r="A2" s="1" t="s">
        <v>272</v>
      </c>
      <c r="B2" s="69" t="s">
        <v>273</v>
      </c>
      <c r="C2" s="1" t="s">
        <v>274</v>
      </c>
    </row>
    <row r="3">
      <c r="A3" s="1" t="s">
        <v>142</v>
      </c>
      <c r="B3" s="69" t="s">
        <v>275</v>
      </c>
      <c r="C3" s="1" t="s">
        <v>274</v>
      </c>
    </row>
    <row r="4">
      <c r="A4" s="1" t="s">
        <v>276</v>
      </c>
      <c r="B4" s="69" t="s">
        <v>277</v>
      </c>
      <c r="C4" s="1" t="s">
        <v>274</v>
      </c>
    </row>
    <row r="5">
      <c r="A5" s="1" t="s">
        <v>145</v>
      </c>
      <c r="B5" s="69" t="s">
        <v>277</v>
      </c>
      <c r="C5" s="1" t="s">
        <v>274</v>
      </c>
    </row>
    <row r="6">
      <c r="A6" s="1" t="s">
        <v>146</v>
      </c>
      <c r="B6" s="69" t="s">
        <v>278</v>
      </c>
      <c r="C6" s="1" t="s">
        <v>274</v>
      </c>
    </row>
    <row r="7">
      <c r="A7" s="1" t="s">
        <v>157</v>
      </c>
      <c r="B7" s="69" t="s">
        <v>279</v>
      </c>
      <c r="C7" s="1" t="s">
        <v>274</v>
      </c>
    </row>
    <row r="8">
      <c r="A8" s="1" t="s">
        <v>195</v>
      </c>
      <c r="B8" s="69" t="s">
        <v>280</v>
      </c>
      <c r="C8" s="1" t="s">
        <v>274</v>
      </c>
    </row>
    <row r="9">
      <c r="A9" s="1" t="s">
        <v>281</v>
      </c>
      <c r="B9" s="69" t="s">
        <v>282</v>
      </c>
      <c r="C9" s="1" t="s">
        <v>274</v>
      </c>
    </row>
    <row r="10">
      <c r="A10" s="1" t="s">
        <v>283</v>
      </c>
      <c r="B10" s="69" t="s">
        <v>284</v>
      </c>
      <c r="C10" s="1" t="s">
        <v>274</v>
      </c>
    </row>
    <row r="11">
      <c r="A11" s="1" t="s">
        <v>150</v>
      </c>
      <c r="B11" s="69" t="s">
        <v>284</v>
      </c>
      <c r="C11" s="1" t="s">
        <v>274</v>
      </c>
    </row>
    <row r="12">
      <c r="A12" s="1" t="s">
        <v>285</v>
      </c>
      <c r="B12" s="69" t="s">
        <v>286</v>
      </c>
      <c r="C12" s="1" t="s">
        <v>274</v>
      </c>
    </row>
    <row r="13">
      <c r="A13" s="1" t="s">
        <v>158</v>
      </c>
      <c r="B13" s="69" t="s">
        <v>286</v>
      </c>
      <c r="C13" s="1" t="s">
        <v>274</v>
      </c>
    </row>
    <row r="14">
      <c r="A14" s="1" t="s">
        <v>148</v>
      </c>
      <c r="B14" s="69" t="s">
        <v>287</v>
      </c>
      <c r="C14" s="1" t="s">
        <v>274</v>
      </c>
    </row>
    <row r="15">
      <c r="A15" s="1" t="s">
        <v>151</v>
      </c>
      <c r="B15" s="69" t="s">
        <v>288</v>
      </c>
      <c r="C15" s="1" t="s">
        <v>274</v>
      </c>
    </row>
    <row r="16">
      <c r="A16" s="1" t="s">
        <v>143</v>
      </c>
      <c r="B16" s="69" t="s">
        <v>289</v>
      </c>
      <c r="C16" s="1" t="s">
        <v>274</v>
      </c>
    </row>
    <row r="17">
      <c r="A17" s="1" t="s">
        <v>159</v>
      </c>
      <c r="B17" s="69" t="s">
        <v>289</v>
      </c>
      <c r="C17" s="1" t="s">
        <v>274</v>
      </c>
    </row>
    <row r="18">
      <c r="A18" s="1" t="s">
        <v>160</v>
      </c>
      <c r="B18" s="69" t="s">
        <v>290</v>
      </c>
      <c r="C18" s="1" t="s">
        <v>291</v>
      </c>
    </row>
    <row r="19">
      <c r="A19" s="1" t="s">
        <v>152</v>
      </c>
      <c r="B19" s="69" t="s">
        <v>292</v>
      </c>
      <c r="C19" s="1" t="s">
        <v>291</v>
      </c>
    </row>
    <row r="20">
      <c r="A20" s="1" t="s">
        <v>198</v>
      </c>
      <c r="B20" s="69" t="s">
        <v>293</v>
      </c>
      <c r="C20" s="1" t="s">
        <v>291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8.25"/>
    <col customWidth="1" min="2" max="2" width="7.25"/>
    <col customWidth="1" min="3" max="3" width="13.75"/>
    <col customWidth="1" min="4" max="4" width="11.75"/>
    <col customWidth="1" min="5" max="5" width="14.88"/>
    <col customWidth="1" min="6" max="6" width="13.38"/>
    <col customWidth="1" min="7" max="7" width="15.5"/>
    <col customWidth="1" min="8" max="8" width="11.63"/>
    <col customWidth="1" min="9" max="9" width="11.0"/>
    <col customWidth="1" min="10" max="10" width="9.63"/>
    <col customWidth="1" min="11" max="11" width="12.25"/>
    <col customWidth="1" min="12" max="12" width="9.25"/>
    <col customWidth="1" min="13" max="13" width="12.5"/>
    <col customWidth="1" min="14" max="14" width="10.88"/>
    <col customWidth="1" min="15" max="15" width="13.13"/>
    <col customWidth="1" min="16" max="16" width="9.25"/>
    <col customWidth="1" min="17" max="17" width="8.5"/>
    <col customWidth="1" min="18" max="18" width="7.13"/>
    <col customWidth="1" min="19" max="19" width="9.88"/>
    <col customWidth="1" min="20" max="20" width="14.5"/>
    <col customWidth="1" min="21" max="21" width="17.75"/>
    <col customWidth="1" min="22" max="22" width="16.13"/>
    <col customWidth="1" min="23" max="23" width="18.38"/>
    <col customWidth="1" min="24" max="24" width="14.5"/>
    <col customWidth="1" min="25" max="25" width="13.75"/>
    <col customWidth="1" min="26" max="26" width="12.38"/>
    <col customWidth="1" min="27" max="27" width="15.13"/>
    <col customWidth="1" min="28" max="28" width="9.75"/>
    <col customWidth="1" min="29" max="29" width="12.88"/>
    <col customWidth="1" min="30" max="30" width="11.38"/>
    <col customWidth="1" min="31" max="31" width="13.5"/>
    <col customWidth="1" min="32" max="32" width="9.63"/>
    <col customWidth="1" min="33" max="33" width="9.0"/>
    <col customWidth="1" min="34" max="34" width="7.63"/>
    <col customWidth="1" min="35" max="35" width="10.25"/>
    <col customWidth="1" min="36" max="36" width="10.13"/>
    <col customWidth="1" min="37" max="37" width="13.38"/>
    <col customWidth="1" min="38" max="38" width="11.75"/>
    <col customWidth="1" min="39" max="39" width="13.88"/>
    <col customWidth="1" min="40" max="40" width="10.0"/>
    <col customWidth="1" min="41" max="41" width="9.38"/>
    <col customWidth="1" min="42" max="42" width="8.0"/>
    <col customWidth="1" min="43" max="43" width="10.75"/>
    <col customWidth="1" min="44" max="44" width="12.75"/>
    <col customWidth="1" min="45" max="45" width="16.0"/>
    <col customWidth="1" min="46" max="46" width="14.38"/>
    <col customWidth="1" min="47" max="47" width="16.63"/>
    <col customWidth="1" min="48" max="48" width="12.75"/>
    <col customWidth="1" min="49" max="49" width="12.0"/>
    <col customWidth="1" min="50" max="50" width="10.63"/>
    <col customWidth="1" min="51" max="51" width="13.38"/>
    <col customWidth="1" min="52" max="52" width="7.88"/>
    <col customWidth="1" min="53" max="53" width="11.13"/>
    <col customWidth="1" min="54" max="54" width="9.63"/>
    <col customWidth="1" min="55" max="55" width="11.75"/>
    <col customWidth="1" min="56" max="56" width="7.88"/>
    <col customWidth="1" min="57" max="57" width="7.25"/>
    <col customWidth="1" min="58" max="58" width="5.88"/>
    <col customWidth="1" min="59" max="59" width="8.5"/>
    <col customWidth="1" min="60" max="60" width="9.25"/>
    <col customWidth="1" min="61" max="61" width="12.5"/>
    <col customWidth="1" min="62" max="62" width="11.0"/>
    <col customWidth="1" min="63" max="63" width="13.13"/>
    <col customWidth="1" min="64" max="64" width="9.25"/>
    <col customWidth="1" min="65" max="65" width="8.63"/>
    <col customWidth="1" min="66" max="66" width="7.25"/>
    <col customWidth="1" min="67" max="67" width="9.88"/>
    <col customWidth="1" min="68" max="68" width="18.13"/>
    <col customWidth="1" min="69" max="69" width="21.38"/>
    <col customWidth="1" min="70" max="70" width="19.88"/>
    <col customWidth="1" min="71" max="71" width="22.0"/>
    <col customWidth="1" min="72" max="72" width="18.13"/>
    <col customWidth="1" min="73" max="73" width="17.38"/>
    <col customWidth="1" min="74" max="74" width="16.13"/>
    <col customWidth="1" min="75" max="75" width="18.75"/>
    <col customWidth="1" min="76" max="76" width="13.38"/>
    <col customWidth="1" min="77" max="77" width="16.63"/>
    <col customWidth="1" min="78" max="78" width="15.0"/>
    <col customWidth="1" min="79" max="79" width="17.25"/>
    <col customWidth="1" min="80" max="80" width="13.38"/>
    <col customWidth="1" min="81" max="81" width="12.63"/>
    <col customWidth="1" min="82" max="82" width="11.25"/>
    <col customWidth="1" min="83" max="83" width="14.0"/>
    <col customWidth="1" min="84" max="84" width="10.5"/>
    <col customWidth="1" min="85" max="85" width="13.75"/>
    <col customWidth="1" min="86" max="86" width="12.25"/>
    <col customWidth="1" min="87" max="87" width="14.38"/>
    <col customWidth="1" min="88" max="88" width="10.5"/>
    <col customWidth="1" min="89" max="89" width="9.75"/>
    <col customWidth="1" min="90" max="90" width="8.5"/>
    <col customWidth="1" min="91" max="91" width="11.13"/>
    <col customWidth="1" min="92" max="92" width="12.63"/>
    <col customWidth="1" min="93" max="93" width="15.88"/>
    <col customWidth="1" min="94" max="94" width="14.25"/>
    <col customWidth="1" min="95" max="95" width="16.5"/>
    <col customWidth="1" min="96" max="96" width="12.63"/>
    <col customWidth="1" min="97" max="97" width="11.88"/>
    <col customWidth="1" min="98" max="98" width="10.5"/>
    <col customWidth="1" min="99" max="99" width="13.25"/>
    <col customWidth="1" min="100" max="100" width="15.5"/>
    <col customWidth="1" min="101" max="101" width="18.75"/>
    <col customWidth="1" min="102" max="102" width="17.25"/>
    <col customWidth="1" min="103" max="103" width="19.38"/>
    <col customWidth="1" min="104" max="104" width="15.5"/>
    <col customWidth="1" min="105" max="105" width="14.88"/>
    <col customWidth="1" min="106" max="106" width="13.5"/>
    <col customWidth="1" min="107" max="107" width="16.13"/>
    <col customWidth="1" min="108" max="108" width="10.75"/>
    <col customWidth="1" min="109" max="109" width="14.0"/>
    <col customWidth="1" min="110" max="110" width="12.38"/>
    <col customWidth="1" min="111" max="111" width="14.63"/>
    <col customWidth="1" min="112" max="112" width="10.75"/>
    <col customWidth="1" min="113" max="113" width="10.0"/>
    <col customWidth="1" min="114" max="114" width="8.63"/>
    <col customWidth="1" min="115" max="115" width="11.38"/>
    <col customWidth="1" min="116" max="116" width="9.25"/>
    <col customWidth="1" min="117" max="117" width="12.5"/>
    <col customWidth="1" min="118" max="118" width="10.88"/>
    <col customWidth="1" min="119" max="119" width="13.13"/>
    <col customWidth="1" min="120" max="120" width="9.25"/>
    <col customWidth="1" min="121" max="121" width="8.5"/>
    <col customWidth="1" min="122" max="122" width="7.13"/>
    <col customWidth="1" min="123" max="123" width="9.88"/>
    <col customWidth="1" min="124" max="124" width="17.0"/>
    <col customWidth="1" min="125" max="125" width="20.25"/>
    <col customWidth="1" min="126" max="126" width="18.75"/>
    <col customWidth="1" min="127" max="127" width="20.88"/>
    <col customWidth="1" min="128" max="128" width="17.0"/>
    <col customWidth="1" min="129" max="129" width="16.38"/>
    <col customWidth="1" min="130" max="130" width="15.0"/>
    <col customWidth="1" min="131" max="131" width="17.63"/>
    <col customWidth="1" min="132" max="132" width="12.63"/>
    <col customWidth="1" min="133" max="133" width="15.88"/>
    <col customWidth="1" min="134" max="134" width="14.38"/>
    <col customWidth="1" min="135" max="135" width="16.5"/>
    <col customWidth="1" min="136" max="136" width="12.63"/>
    <col customWidth="1" min="137" max="137" width="11.88"/>
    <col customWidth="1" min="138" max="138" width="10.63"/>
    <col customWidth="1" min="139" max="139" width="13.25"/>
    <col customWidth="1" min="140" max="140" width="9.13"/>
    <col customWidth="1" min="141" max="141" width="12.38"/>
    <col customWidth="1" min="142" max="142" width="10.88"/>
    <col customWidth="1" min="143" max="143" width="13.0"/>
    <col customWidth="1" min="144" max="144" width="9.13"/>
    <col customWidth="1" min="145" max="145" width="8.38"/>
    <col customWidth="1" min="146" max="146" width="7.13"/>
    <col customWidth="1" min="147" max="147" width="9.75"/>
    <col customWidth="1" min="148" max="148" width="17.0"/>
    <col customWidth="1" min="149" max="149" width="20.25"/>
    <col customWidth="1" min="150" max="150" width="18.63"/>
    <col customWidth="1" min="151" max="151" width="20.75"/>
    <col customWidth="1" min="152" max="152" width="16.88"/>
    <col customWidth="1" min="153" max="153" width="16.25"/>
    <col customWidth="1" min="154" max="154" width="14.88"/>
    <col customWidth="1" min="155" max="155" width="17.63"/>
    <col customWidth="1" min="156" max="156" width="12.63"/>
    <col customWidth="1" min="157" max="157" width="15.75"/>
    <col customWidth="1" min="158" max="158" width="14.25"/>
    <col customWidth="1" min="159" max="159" width="16.38"/>
    <col customWidth="1" min="160" max="160" width="12.5"/>
    <col customWidth="1" min="161" max="161" width="11.88"/>
    <col customWidth="1" min="162" max="162" width="10.5"/>
    <col customWidth="1" min="163" max="163" width="13.13"/>
    <col customWidth="1" min="164" max="164" width="6.75"/>
  </cols>
  <sheetData>
    <row r="1">
      <c r="A1" s="3" t="s">
        <v>49</v>
      </c>
      <c r="B1" s="4" t="s">
        <v>50</v>
      </c>
      <c r="C1" s="5" t="s">
        <v>51</v>
      </c>
      <c r="D1" s="6" t="s">
        <v>60</v>
      </c>
      <c r="E1" s="7" t="s">
        <v>61</v>
      </c>
      <c r="F1" s="7" t="s">
        <v>294</v>
      </c>
      <c r="G1" s="8" t="s">
        <v>62</v>
      </c>
      <c r="H1" s="9" t="s">
        <v>295</v>
      </c>
      <c r="I1" s="10" t="s">
        <v>296</v>
      </c>
      <c r="J1" s="11" t="s">
        <v>297</v>
      </c>
      <c r="K1" s="70" t="s">
        <v>63</v>
      </c>
      <c r="L1" s="6" t="s">
        <v>298</v>
      </c>
      <c r="M1" s="7" t="s">
        <v>299</v>
      </c>
      <c r="N1" s="7" t="s">
        <v>300</v>
      </c>
      <c r="O1" s="8" t="s">
        <v>301</v>
      </c>
      <c r="P1" s="9" t="s">
        <v>302</v>
      </c>
      <c r="Q1" s="10" t="s">
        <v>303</v>
      </c>
      <c r="R1" s="11" t="s">
        <v>304</v>
      </c>
      <c r="S1" s="70" t="s">
        <v>305</v>
      </c>
      <c r="T1" s="71" t="s">
        <v>202</v>
      </c>
      <c r="U1" s="72" t="s">
        <v>203</v>
      </c>
      <c r="V1" s="72" t="s">
        <v>306</v>
      </c>
      <c r="W1" s="73" t="s">
        <v>204</v>
      </c>
      <c r="X1" s="74" t="s">
        <v>205</v>
      </c>
      <c r="Y1" s="75" t="s">
        <v>206</v>
      </c>
      <c r="Z1" s="76" t="s">
        <v>207</v>
      </c>
      <c r="AA1" s="77" t="s">
        <v>208</v>
      </c>
      <c r="AB1" s="6" t="s">
        <v>64</v>
      </c>
      <c r="AC1" s="7" t="s">
        <v>65</v>
      </c>
      <c r="AD1" s="7" t="s">
        <v>307</v>
      </c>
      <c r="AE1" s="8" t="s">
        <v>66</v>
      </c>
      <c r="AF1" s="9" t="s">
        <v>209</v>
      </c>
      <c r="AG1" s="10" t="s">
        <v>210</v>
      </c>
      <c r="AH1" s="11" t="s">
        <v>211</v>
      </c>
      <c r="AI1" s="70" t="s">
        <v>67</v>
      </c>
      <c r="AJ1" s="6" t="s">
        <v>92</v>
      </c>
      <c r="AK1" s="7" t="s">
        <v>93</v>
      </c>
      <c r="AL1" s="7" t="s">
        <v>308</v>
      </c>
      <c r="AM1" s="8" t="s">
        <v>94</v>
      </c>
      <c r="AN1" s="9" t="s">
        <v>263</v>
      </c>
      <c r="AO1" s="10" t="s">
        <v>264</v>
      </c>
      <c r="AP1" s="11" t="s">
        <v>265</v>
      </c>
      <c r="AQ1" s="70" t="s">
        <v>95</v>
      </c>
      <c r="AR1" s="71" t="s">
        <v>228</v>
      </c>
      <c r="AS1" s="72" t="s">
        <v>229</v>
      </c>
      <c r="AT1" s="72" t="s">
        <v>309</v>
      </c>
      <c r="AU1" s="73" t="s">
        <v>230</v>
      </c>
      <c r="AV1" s="74" t="s">
        <v>231</v>
      </c>
      <c r="AW1" s="75" t="s">
        <v>232</v>
      </c>
      <c r="AX1" s="76" t="s">
        <v>233</v>
      </c>
      <c r="AY1" s="77" t="s">
        <v>234</v>
      </c>
      <c r="AZ1" s="6" t="s">
        <v>84</v>
      </c>
      <c r="BA1" s="7" t="s">
        <v>85</v>
      </c>
      <c r="BB1" s="7" t="s">
        <v>310</v>
      </c>
      <c r="BC1" s="8" t="s">
        <v>86</v>
      </c>
      <c r="BD1" s="9" t="s">
        <v>235</v>
      </c>
      <c r="BE1" s="10" t="s">
        <v>236</v>
      </c>
      <c r="BF1" s="11" t="s">
        <v>237</v>
      </c>
      <c r="BG1" s="70" t="s">
        <v>87</v>
      </c>
      <c r="BH1" s="6" t="s">
        <v>116</v>
      </c>
      <c r="BI1" s="7" t="s">
        <v>117</v>
      </c>
      <c r="BJ1" s="7" t="s">
        <v>311</v>
      </c>
      <c r="BK1" s="8" t="s">
        <v>118</v>
      </c>
      <c r="BL1" s="9" t="s">
        <v>245</v>
      </c>
      <c r="BM1" s="10" t="s">
        <v>246</v>
      </c>
      <c r="BN1" s="11" t="s">
        <v>247</v>
      </c>
      <c r="BO1" s="70" t="s">
        <v>119</v>
      </c>
      <c r="BP1" s="71" t="s">
        <v>312</v>
      </c>
      <c r="BQ1" s="72" t="s">
        <v>313</v>
      </c>
      <c r="BR1" s="72" t="s">
        <v>314</v>
      </c>
      <c r="BS1" s="73" t="s">
        <v>315</v>
      </c>
      <c r="BT1" s="74" t="s">
        <v>316</v>
      </c>
      <c r="BU1" s="75" t="s">
        <v>317</v>
      </c>
      <c r="BV1" s="76" t="s">
        <v>318</v>
      </c>
      <c r="BW1" s="77" t="s">
        <v>319</v>
      </c>
      <c r="BX1" s="6" t="s">
        <v>80</v>
      </c>
      <c r="BY1" s="7" t="s">
        <v>81</v>
      </c>
      <c r="BZ1" s="7" t="s">
        <v>320</v>
      </c>
      <c r="CA1" s="8" t="s">
        <v>82</v>
      </c>
      <c r="CB1" s="9" t="s">
        <v>321</v>
      </c>
      <c r="CC1" s="10" t="s">
        <v>322</v>
      </c>
      <c r="CD1" s="11" t="s">
        <v>323</v>
      </c>
      <c r="CE1" s="70" t="s">
        <v>83</v>
      </c>
      <c r="CF1" s="6" t="s">
        <v>100</v>
      </c>
      <c r="CG1" s="7" t="s">
        <v>101</v>
      </c>
      <c r="CH1" s="7" t="s">
        <v>324</v>
      </c>
      <c r="CI1" s="8" t="s">
        <v>102</v>
      </c>
      <c r="CJ1" s="9" t="s">
        <v>325</v>
      </c>
      <c r="CK1" s="10" t="s">
        <v>326</v>
      </c>
      <c r="CL1" s="11" t="s">
        <v>327</v>
      </c>
      <c r="CM1" s="70" t="s">
        <v>103</v>
      </c>
      <c r="CN1" s="6" t="s">
        <v>124</v>
      </c>
      <c r="CO1" s="7" t="s">
        <v>125</v>
      </c>
      <c r="CP1" s="7" t="s">
        <v>328</v>
      </c>
      <c r="CQ1" s="8" t="s">
        <v>126</v>
      </c>
      <c r="CR1" s="9" t="s">
        <v>260</v>
      </c>
      <c r="CS1" s="10" t="s">
        <v>261</v>
      </c>
      <c r="CT1" s="11" t="s">
        <v>262</v>
      </c>
      <c r="CU1" s="70" t="s">
        <v>127</v>
      </c>
      <c r="CV1" s="71" t="s">
        <v>329</v>
      </c>
      <c r="CW1" s="72" t="s">
        <v>330</v>
      </c>
      <c r="CX1" s="72" t="s">
        <v>331</v>
      </c>
      <c r="CY1" s="73" t="s">
        <v>332</v>
      </c>
      <c r="CZ1" s="74" t="s">
        <v>333</v>
      </c>
      <c r="DA1" s="75" t="s">
        <v>334</v>
      </c>
      <c r="DB1" s="76" t="s">
        <v>335</v>
      </c>
      <c r="DC1" s="77" t="s">
        <v>336</v>
      </c>
      <c r="DD1" s="6" t="s">
        <v>52</v>
      </c>
      <c r="DE1" s="7" t="s">
        <v>53</v>
      </c>
      <c r="DF1" s="7" t="s">
        <v>337</v>
      </c>
      <c r="DG1" s="8" t="s">
        <v>54</v>
      </c>
      <c r="DH1" s="9" t="s">
        <v>199</v>
      </c>
      <c r="DI1" s="10" t="s">
        <v>200</v>
      </c>
      <c r="DJ1" s="11" t="s">
        <v>201</v>
      </c>
      <c r="DK1" s="70" t="s">
        <v>55</v>
      </c>
      <c r="DL1" s="6" t="s">
        <v>108</v>
      </c>
      <c r="DM1" s="7" t="s">
        <v>109</v>
      </c>
      <c r="DN1" s="7" t="s">
        <v>338</v>
      </c>
      <c r="DO1" s="8" t="s">
        <v>110</v>
      </c>
      <c r="DP1" s="9" t="s">
        <v>339</v>
      </c>
      <c r="DQ1" s="10" t="s">
        <v>340</v>
      </c>
      <c r="DR1" s="11" t="s">
        <v>341</v>
      </c>
      <c r="DS1" s="70" t="s">
        <v>111</v>
      </c>
      <c r="DT1" s="71" t="s">
        <v>342</v>
      </c>
      <c r="DU1" s="72" t="s">
        <v>343</v>
      </c>
      <c r="DV1" s="72" t="s">
        <v>344</v>
      </c>
      <c r="DW1" s="73" t="s">
        <v>345</v>
      </c>
      <c r="DX1" s="74" t="s">
        <v>346</v>
      </c>
      <c r="DY1" s="75" t="s">
        <v>347</v>
      </c>
      <c r="DZ1" s="76" t="s">
        <v>348</v>
      </c>
      <c r="EA1" s="77" t="s">
        <v>349</v>
      </c>
      <c r="EB1" s="71" t="s">
        <v>88</v>
      </c>
      <c r="EC1" s="72" t="s">
        <v>89</v>
      </c>
      <c r="ED1" s="72" t="s">
        <v>350</v>
      </c>
      <c r="EE1" s="73" t="s">
        <v>90</v>
      </c>
      <c r="EF1" s="74" t="s">
        <v>251</v>
      </c>
      <c r="EG1" s="75" t="s">
        <v>252</v>
      </c>
      <c r="EH1" s="76" t="s">
        <v>253</v>
      </c>
      <c r="EI1" s="77" t="s">
        <v>91</v>
      </c>
      <c r="EJ1" s="6" t="s">
        <v>104</v>
      </c>
      <c r="EK1" s="7" t="s">
        <v>105</v>
      </c>
      <c r="EL1" s="7" t="s">
        <v>351</v>
      </c>
      <c r="EM1" s="8" t="s">
        <v>106</v>
      </c>
      <c r="EN1" s="9" t="s">
        <v>352</v>
      </c>
      <c r="EO1" s="10" t="s">
        <v>353</v>
      </c>
      <c r="EP1" s="11" t="s">
        <v>354</v>
      </c>
      <c r="EQ1" s="70" t="s">
        <v>107</v>
      </c>
      <c r="ER1" s="71" t="s">
        <v>355</v>
      </c>
      <c r="ES1" s="72" t="s">
        <v>356</v>
      </c>
      <c r="ET1" s="72" t="s">
        <v>357</v>
      </c>
      <c r="EU1" s="73" t="s">
        <v>358</v>
      </c>
      <c r="EV1" s="74" t="s">
        <v>359</v>
      </c>
      <c r="EW1" s="75" t="s">
        <v>360</v>
      </c>
      <c r="EX1" s="76" t="s">
        <v>361</v>
      </c>
      <c r="EY1" s="77" t="s">
        <v>362</v>
      </c>
      <c r="EZ1" s="6" t="s">
        <v>96</v>
      </c>
      <c r="FA1" s="7" t="s">
        <v>97</v>
      </c>
      <c r="FB1" s="7" t="s">
        <v>363</v>
      </c>
      <c r="FC1" s="8" t="s">
        <v>98</v>
      </c>
      <c r="FD1" s="9" t="s">
        <v>364</v>
      </c>
      <c r="FE1" s="10" t="s">
        <v>365</v>
      </c>
      <c r="FF1" s="11" t="s">
        <v>366</v>
      </c>
      <c r="FG1" s="70" t="s">
        <v>99</v>
      </c>
      <c r="FH1" s="13" t="s">
        <v>128</v>
      </c>
    </row>
    <row r="2">
      <c r="A2" s="14" t="s">
        <v>27</v>
      </c>
      <c r="B2" s="1" t="s">
        <v>13</v>
      </c>
      <c r="C2" s="15" t="s">
        <v>14</v>
      </c>
      <c r="D2" s="16">
        <v>5.0</v>
      </c>
      <c r="E2" s="17">
        <v>1.0</v>
      </c>
      <c r="F2" s="17"/>
      <c r="G2" s="18" t="s">
        <v>130</v>
      </c>
      <c r="H2" s="19" t="s">
        <v>129</v>
      </c>
      <c r="I2" s="20" t="s">
        <v>129</v>
      </c>
      <c r="J2" s="21" t="s">
        <v>129</v>
      </c>
      <c r="K2" s="78">
        <f>IFERROR((VLOOKUP(D2,Scoring!$A:$B,2,0))+IF(G2="y",1,0)+IF(H2="y",1,0)+IF(I2="y",1,0)+IF(J2="y",1,0),0)</f>
        <v>11</v>
      </c>
      <c r="L2" s="16">
        <v>3.0</v>
      </c>
      <c r="M2" s="17">
        <v>3.0</v>
      </c>
      <c r="N2" s="17"/>
      <c r="O2" s="18" t="s">
        <v>129</v>
      </c>
      <c r="P2" s="19" t="s">
        <v>129</v>
      </c>
      <c r="Q2" s="20" t="s">
        <v>129</v>
      </c>
      <c r="R2" s="21" t="s">
        <v>129</v>
      </c>
      <c r="S2" s="78">
        <f>IFERROR((VLOOKUP(L2,Scoring!$A:$B,2,0))+IF(O2="y",1,0)+IF(P2="y",1,0)+IF(Q2="y",1,0)+IF(R2="y",1,0),0)</f>
        <v>15</v>
      </c>
      <c r="T2" s="79">
        <v>2.0</v>
      </c>
      <c r="U2" s="80">
        <v>24.0</v>
      </c>
      <c r="V2" s="80">
        <v>12.0</v>
      </c>
      <c r="W2" s="81" t="s">
        <v>129</v>
      </c>
      <c r="X2" s="82" t="s">
        <v>129</v>
      </c>
      <c r="Y2" s="83" t="s">
        <v>129</v>
      </c>
      <c r="Z2" s="84" t="s">
        <v>129</v>
      </c>
      <c r="AA2" s="85">
        <f>IFERROR((VLOOKUP(T2,Scoring!$D:$E,2,0))+IF(W2="y",1,0)+IF(X2="y",1,0)+IF(Y2="y",1,0)+IF(Z2="y",1,0),0)</f>
        <v>7</v>
      </c>
      <c r="AB2" s="16">
        <v>2.0</v>
      </c>
      <c r="AC2" s="17">
        <v>9.0</v>
      </c>
      <c r="AD2" s="17"/>
      <c r="AE2" s="18" t="s">
        <v>129</v>
      </c>
      <c r="AF2" s="19" t="s">
        <v>130</v>
      </c>
      <c r="AG2" s="20" t="s">
        <v>130</v>
      </c>
      <c r="AH2" s="21" t="s">
        <v>129</v>
      </c>
      <c r="AI2" s="78">
        <f>IFERROR((VLOOKUP(AB2,Scoring!$A:$B,2,0))+IF(AE2="y",1,0)+IF(AF2="y",1,0)+IF(AG2="y",1,0)+IF(AH2="y",1,0),0)</f>
        <v>20</v>
      </c>
      <c r="AJ2" s="16">
        <v>3.0</v>
      </c>
      <c r="AK2" s="17">
        <v>2.0</v>
      </c>
      <c r="AL2" s="17"/>
      <c r="AM2" s="18" t="s">
        <v>129</v>
      </c>
      <c r="AN2" s="19" t="s">
        <v>129</v>
      </c>
      <c r="AO2" s="20" t="s">
        <v>129</v>
      </c>
      <c r="AP2" s="21" t="s">
        <v>129</v>
      </c>
      <c r="AQ2" s="78">
        <f>IFERROR((VLOOKUP(AJ2,Scoring!$A:$B,2,0))+IF(AM2="y",1,0)+IF(AN2="y",1,0)+IF(AO2="y",1,0)+IF(AP2="y",1,0),0)</f>
        <v>15</v>
      </c>
      <c r="AR2" s="79">
        <v>1.0</v>
      </c>
      <c r="AS2" s="80">
        <v>3.0</v>
      </c>
      <c r="AT2" s="86"/>
      <c r="AU2" s="81" t="s">
        <v>129</v>
      </c>
      <c r="AV2" s="82" t="s">
        <v>129</v>
      </c>
      <c r="AW2" s="83" t="s">
        <v>129</v>
      </c>
      <c r="AX2" s="84" t="s">
        <v>129</v>
      </c>
      <c r="AY2" s="85">
        <f>IFERROR((VLOOKUP(AR2,Scoring!$D:$E,2,0))+IF(AU2="y",1,0)+IF(AV2="y",1,0)+IF(AW2="y",1,0)+IF(AX2="y",1,0),0)</f>
        <v>8</v>
      </c>
      <c r="AZ2" s="16">
        <v>2.0</v>
      </c>
      <c r="BA2" s="17">
        <v>9.0</v>
      </c>
      <c r="BB2" s="17"/>
      <c r="BC2" s="18" t="s">
        <v>129</v>
      </c>
      <c r="BD2" s="19" t="s">
        <v>129</v>
      </c>
      <c r="BE2" s="20" t="s">
        <v>130</v>
      </c>
      <c r="BF2" s="21" t="s">
        <v>129</v>
      </c>
      <c r="BG2" s="78">
        <f>IFERROR((VLOOKUP(AZ2,Scoring!$A:$B,2,0))+IF(BC2="y",1,0)+IF(BD2="y",1,0)+IF(BE2="y",1,0)+IF(BF2="y",1,0),0)</f>
        <v>19</v>
      </c>
      <c r="BH2" s="16"/>
      <c r="BI2" s="17"/>
      <c r="BJ2" s="17"/>
      <c r="BK2" s="18" t="s">
        <v>129</v>
      </c>
      <c r="BL2" s="19" t="s">
        <v>129</v>
      </c>
      <c r="BM2" s="20" t="s">
        <v>129</v>
      </c>
      <c r="BN2" s="21" t="s">
        <v>129</v>
      </c>
      <c r="BO2" s="78">
        <f>IFERROR((VLOOKUP(BH2,Scoring!$A:$B,2,0))+IF(BK2="y",1,0)+IF(BL2="y",1,0)+IF(BM2="y",1,0)+IF(BN2="y",1,0),0)</f>
        <v>0</v>
      </c>
      <c r="BP2" s="87"/>
      <c r="BQ2" s="86"/>
      <c r="BR2" s="86"/>
      <c r="BS2" s="81" t="s">
        <v>129</v>
      </c>
      <c r="BT2" s="82" t="s">
        <v>129</v>
      </c>
      <c r="BU2" s="83" t="s">
        <v>129</v>
      </c>
      <c r="BV2" s="84" t="s">
        <v>129</v>
      </c>
      <c r="BW2" s="85">
        <f>IFERROR((VLOOKUP(BP2,Scoring!$D:$E,2,0))+IF(BS2="y",1,0)+IF(BT2="y",1,0)+IF(BU2="y",1,0)+IF(BV2="y",1,0),0)</f>
        <v>0</v>
      </c>
      <c r="BX2" s="16"/>
      <c r="BY2" s="17"/>
      <c r="BZ2" s="17"/>
      <c r="CA2" s="18" t="s">
        <v>129</v>
      </c>
      <c r="CB2" s="19" t="s">
        <v>129</v>
      </c>
      <c r="CC2" s="20" t="s">
        <v>129</v>
      </c>
      <c r="CD2" s="21" t="s">
        <v>129</v>
      </c>
      <c r="CE2" s="78">
        <f>IFERROR((VLOOKUP(BX2,Scoring!$A:$B,2,0))+IF(CA2="y",1,0)+IF(CB2="y",1,0)+IF(CC2="y",1,0)+IF(CD2="y",1,0),0)</f>
        <v>0</v>
      </c>
      <c r="CF2" s="16"/>
      <c r="CG2" s="17"/>
      <c r="CH2" s="17"/>
      <c r="CI2" s="18" t="s">
        <v>129</v>
      </c>
      <c r="CJ2" s="19" t="s">
        <v>129</v>
      </c>
      <c r="CK2" s="20" t="s">
        <v>129</v>
      </c>
      <c r="CL2" s="21" t="s">
        <v>129</v>
      </c>
      <c r="CM2" s="78">
        <f>IFERROR((VLOOKUP(CF2,Scoring!$A:$B,2,0))+IF(CI2="y",1,0)+IF(CJ2="y",1,0)+IF(CK2="y",1,0)+IF(CL2="y",1,0),0)</f>
        <v>0</v>
      </c>
      <c r="CN2" s="16"/>
      <c r="CO2" s="17"/>
      <c r="CP2" s="17"/>
      <c r="CQ2" s="18" t="s">
        <v>129</v>
      </c>
      <c r="CR2" s="19" t="s">
        <v>129</v>
      </c>
      <c r="CS2" s="20" t="s">
        <v>129</v>
      </c>
      <c r="CT2" s="21" t="s">
        <v>129</v>
      </c>
      <c r="CU2" s="78">
        <f>IFERROR((VLOOKUP(CN2,Scoring!$A:$B,2,0))+IF(CQ2="y",1,0)+IF(CR2="y",1,0)+IF(CS2="y",1,0)+IF(CT2="y",1,0),0)</f>
        <v>0</v>
      </c>
      <c r="CV2" s="87"/>
      <c r="CW2" s="86"/>
      <c r="CX2" s="86"/>
      <c r="CY2" s="81" t="s">
        <v>129</v>
      </c>
      <c r="CZ2" s="82" t="s">
        <v>129</v>
      </c>
      <c r="DA2" s="83" t="s">
        <v>129</v>
      </c>
      <c r="DB2" s="84" t="s">
        <v>129</v>
      </c>
      <c r="DC2" s="85">
        <f>IFERROR((VLOOKUP(CV2,Scoring!$D:$E,2,0))+IF(CY2="y",1,0)+IF(CZ2="y",1,0)+IF(DA2="y",1,0)+IF(DB2="y",1,0),0)</f>
        <v>0</v>
      </c>
      <c r="DD2" s="16"/>
      <c r="DE2" s="17"/>
      <c r="DF2" s="17"/>
      <c r="DG2" s="18" t="s">
        <v>129</v>
      </c>
      <c r="DH2" s="19" t="s">
        <v>129</v>
      </c>
      <c r="DI2" s="20" t="s">
        <v>129</v>
      </c>
      <c r="DJ2" s="21" t="s">
        <v>129</v>
      </c>
      <c r="DK2" s="78">
        <f>IFERROR((VLOOKUP(DD2,Scoring!$A:$B,2,0))+IF(DG2="y",1,0)+IF(DH2="y",1,0)+IF(DI2="y",1,0)+IF(DJ2="y",1,0),0)</f>
        <v>0</v>
      </c>
      <c r="DL2" s="16"/>
      <c r="DM2" s="17"/>
      <c r="DN2" s="17"/>
      <c r="DO2" s="18" t="s">
        <v>129</v>
      </c>
      <c r="DP2" s="19" t="s">
        <v>129</v>
      </c>
      <c r="DQ2" s="20" t="s">
        <v>129</v>
      </c>
      <c r="DR2" s="21" t="s">
        <v>129</v>
      </c>
      <c r="DS2" s="78">
        <f>IFERROR((VLOOKUP(DL2,Scoring!$A:$B,2,0))+IF(DO2="y",1,0)+IF(DP2="y",1,0)+IF(DQ2="y",1,0)+IF(DR2="y",1,0),0)</f>
        <v>0</v>
      </c>
      <c r="DT2" s="87"/>
      <c r="DU2" s="86"/>
      <c r="DV2" s="86"/>
      <c r="DW2" s="81" t="s">
        <v>129</v>
      </c>
      <c r="DX2" s="82" t="s">
        <v>129</v>
      </c>
      <c r="DY2" s="83" t="s">
        <v>129</v>
      </c>
      <c r="DZ2" s="84" t="s">
        <v>129</v>
      </c>
      <c r="EA2" s="88">
        <f>IFERROR((VLOOKUP(DT2,Scoring!$D:$E,2,0))+IF(DW2="y",1,0)+IF(DX2="y",1,0)+IF(DY2="y",1,0)+IF(DZ2="y",1,0),0)</f>
        <v>0</v>
      </c>
      <c r="EB2" s="89"/>
      <c r="EC2" s="90"/>
      <c r="ED2" s="90"/>
      <c r="EE2" s="91" t="s">
        <v>129</v>
      </c>
      <c r="EF2" s="92" t="s">
        <v>129</v>
      </c>
      <c r="EG2" s="93" t="s">
        <v>129</v>
      </c>
      <c r="EH2" s="94" t="s">
        <v>129</v>
      </c>
      <c r="EI2" s="88">
        <f>IFERROR((VLOOKUP(EB2,Scoring!$A:$B,2,0))+IF(EE2="y",1,0)+IF(EF2="y",1,0)+IF(EG2="y",1,0)+IF(EH2="y",1,0),0)</f>
        <v>0</v>
      </c>
      <c r="EJ2" s="16"/>
      <c r="EK2" s="17"/>
      <c r="EL2" s="17"/>
      <c r="EM2" s="18" t="s">
        <v>129</v>
      </c>
      <c r="EN2" s="19" t="s">
        <v>129</v>
      </c>
      <c r="EO2" s="20" t="s">
        <v>129</v>
      </c>
      <c r="EP2" s="21" t="s">
        <v>129</v>
      </c>
      <c r="EQ2" s="78">
        <f>IFERROR((VLOOKUP(EJ2,Scoring!$A:$B,2,0))+IF(EM2="y",1,0)+IF(EN2="y",1,0)+IF(EO2="y",1,0)+IF(EP2="y",1,0),0)</f>
        <v>0</v>
      </c>
      <c r="ER2" s="89"/>
      <c r="ES2" s="90"/>
      <c r="ET2" s="90"/>
      <c r="EU2" s="91" t="s">
        <v>129</v>
      </c>
      <c r="EV2" s="92" t="s">
        <v>129</v>
      </c>
      <c r="EW2" s="93" t="s">
        <v>129</v>
      </c>
      <c r="EX2" s="94" t="s">
        <v>129</v>
      </c>
      <c r="EY2" s="88">
        <f>IFERROR((VLOOKUP(ER2,Scoring!$D:$E,2,0))+IF(EU2="y",1,0)+IF(EV2="y",1,0)+IF(EW2="y",1,0)+IF(EX2="y",1,0),0)</f>
        <v>0</v>
      </c>
      <c r="EZ2" s="16"/>
      <c r="FA2" s="17"/>
      <c r="FB2" s="17"/>
      <c r="FC2" s="18" t="s">
        <v>129</v>
      </c>
      <c r="FD2" s="19" t="s">
        <v>129</v>
      </c>
      <c r="FE2" s="20" t="s">
        <v>129</v>
      </c>
      <c r="FF2" s="21" t="s">
        <v>129</v>
      </c>
      <c r="FG2" s="78">
        <f>IFERROR((VLOOKUP(EZ2,Scoring!$A:$B,2,0))+IF(FC2="y",1,0)+IF(FD2="y",1,0)+IF(FE2="y",1,0)+IF(FF2="y",1,0),0)</f>
        <v>0</v>
      </c>
      <c r="FH2" s="13">
        <v>0.0</v>
      </c>
    </row>
    <row r="3">
      <c r="A3" s="14" t="s">
        <v>27</v>
      </c>
      <c r="B3" s="1" t="s">
        <v>15</v>
      </c>
      <c r="C3" s="15" t="s">
        <v>16</v>
      </c>
      <c r="D3" s="24">
        <v>6.0</v>
      </c>
      <c r="E3" s="25">
        <v>10.0</v>
      </c>
      <c r="F3" s="25"/>
      <c r="G3" s="26" t="s">
        <v>129</v>
      </c>
      <c r="H3" s="27" t="s">
        <v>129</v>
      </c>
      <c r="I3" s="28" t="s">
        <v>129</v>
      </c>
      <c r="J3" s="29" t="s">
        <v>129</v>
      </c>
      <c r="K3" s="95">
        <f>IFERROR((VLOOKUP(D3,Scoring!$A:$B,2,0))+IF(G3="y",1,0)+IF(H3="y",1,0)+IF(I3="y",1,0)+IF(J3="y",1,0),0)</f>
        <v>8</v>
      </c>
      <c r="L3" s="24">
        <v>11.0</v>
      </c>
      <c r="M3" s="25">
        <v>9.0</v>
      </c>
      <c r="N3" s="25"/>
      <c r="O3" s="26" t="s">
        <v>129</v>
      </c>
      <c r="P3" s="27" t="s">
        <v>129</v>
      </c>
      <c r="Q3" s="28" t="s">
        <v>129</v>
      </c>
      <c r="R3" s="29" t="s">
        <v>129</v>
      </c>
      <c r="S3" s="95">
        <f>IFERROR((VLOOKUP(L3,Scoring!$A:$B,2,0))+IF(O3="y",1,0)+IF(P3="y",1,0)+IF(Q3="y",1,0)+IF(R3="y",1,0),0)</f>
        <v>1</v>
      </c>
      <c r="T3" s="96">
        <v>24.0</v>
      </c>
      <c r="U3" s="97">
        <v>24.0</v>
      </c>
      <c r="V3" s="98"/>
      <c r="W3" s="99" t="s">
        <v>129</v>
      </c>
      <c r="X3" s="100" t="s">
        <v>129</v>
      </c>
      <c r="Y3" s="101" t="s">
        <v>129</v>
      </c>
      <c r="Z3" s="102" t="s">
        <v>129</v>
      </c>
      <c r="AA3" s="85">
        <f>IFERROR((VLOOKUP(T3,Scoring!$D:$E,2,0))+IF(W3="y",1,0)+IF(X3="y",1,0)+IF(Y3="y",1,0)+IF(Z3="y",1,0),0)</f>
        <v>0</v>
      </c>
      <c r="AB3" s="24">
        <v>24.0</v>
      </c>
      <c r="AC3" s="25">
        <v>24.0</v>
      </c>
      <c r="AD3" s="25"/>
      <c r="AE3" s="26" t="s">
        <v>129</v>
      </c>
      <c r="AF3" s="27" t="s">
        <v>129</v>
      </c>
      <c r="AG3" s="28" t="s">
        <v>129</v>
      </c>
      <c r="AH3" s="29" t="s">
        <v>129</v>
      </c>
      <c r="AI3" s="95">
        <f>IFERROR((VLOOKUP(AB3,Scoring!$A:$B,2,0))+IF(AE3="y",1,0)+IF(AF3="y",1,0)+IF(AG3="y",1,0)+IF(AH3="y",1,0),0)</f>
        <v>0</v>
      </c>
      <c r="AJ3" s="24">
        <v>8.0</v>
      </c>
      <c r="AK3" s="25">
        <v>24.0</v>
      </c>
      <c r="AL3" s="25">
        <v>11.0</v>
      </c>
      <c r="AM3" s="26" t="s">
        <v>129</v>
      </c>
      <c r="AN3" s="27" t="s">
        <v>129</v>
      </c>
      <c r="AO3" s="28" t="s">
        <v>129</v>
      </c>
      <c r="AP3" s="29" t="s">
        <v>129</v>
      </c>
      <c r="AQ3" s="95">
        <f>IFERROR((VLOOKUP(AJ3,Scoring!$A:$B,2,0))+IF(AM3="y",1,0)+IF(AN3="y",1,0)+IF(AO3="y",1,0)+IF(AP3="y",1,0),0)</f>
        <v>4</v>
      </c>
      <c r="AR3" s="96">
        <v>23.0</v>
      </c>
      <c r="AS3" s="97">
        <v>6.0</v>
      </c>
      <c r="AT3" s="98"/>
      <c r="AU3" s="99" t="s">
        <v>129</v>
      </c>
      <c r="AV3" s="100" t="s">
        <v>129</v>
      </c>
      <c r="AW3" s="101" t="s">
        <v>129</v>
      </c>
      <c r="AX3" s="102" t="s">
        <v>129</v>
      </c>
      <c r="AY3" s="85">
        <f>IFERROR((VLOOKUP(AR3,Scoring!$D:$E,2,0))+IF(AU3="y",1,0)+IF(AV3="y",1,0)+IF(AW3="y",1,0)+IF(AX3="y",1,0),0)</f>
        <v>0</v>
      </c>
      <c r="AZ3" s="24">
        <v>24.0</v>
      </c>
      <c r="BA3" s="25">
        <v>24.0</v>
      </c>
      <c r="BB3" s="25"/>
      <c r="BC3" s="26" t="s">
        <v>129</v>
      </c>
      <c r="BD3" s="27" t="s">
        <v>129</v>
      </c>
      <c r="BE3" s="28" t="s">
        <v>129</v>
      </c>
      <c r="BF3" s="29" t="s">
        <v>129</v>
      </c>
      <c r="BG3" s="95">
        <f>IFERROR((VLOOKUP(AZ3,Scoring!$A:$B,2,0))+IF(BC3="y",1,0)+IF(BD3="y",1,0)+IF(BE3="y",1,0)+IF(BF3="y",1,0),0)</f>
        <v>0</v>
      </c>
      <c r="BH3" s="24"/>
      <c r="BI3" s="25"/>
      <c r="BJ3" s="25"/>
      <c r="BK3" s="26" t="s">
        <v>129</v>
      </c>
      <c r="BL3" s="27" t="s">
        <v>129</v>
      </c>
      <c r="BM3" s="28" t="s">
        <v>129</v>
      </c>
      <c r="BN3" s="29" t="s">
        <v>129</v>
      </c>
      <c r="BO3" s="95">
        <f>IFERROR((VLOOKUP(BH3,Scoring!$A:$B,2,0))+IF(BK3="y",1,0)+IF(BL3="y",1,0)+IF(BM3="y",1,0)+IF(BN3="y",1,0),0)</f>
        <v>0</v>
      </c>
      <c r="BP3" s="103"/>
      <c r="BQ3" s="98"/>
      <c r="BR3" s="98"/>
      <c r="BS3" s="99" t="s">
        <v>129</v>
      </c>
      <c r="BT3" s="100" t="s">
        <v>129</v>
      </c>
      <c r="BU3" s="101" t="s">
        <v>129</v>
      </c>
      <c r="BV3" s="102" t="s">
        <v>129</v>
      </c>
      <c r="BW3" s="85">
        <f>IFERROR((VLOOKUP(BP3,Scoring!$D:$E,2,0))+IF(BS3="y",1,0)+IF(BT3="y",1,0)+IF(BU3="y",1,0)+IF(BV3="y",1,0),0)</f>
        <v>0</v>
      </c>
      <c r="BX3" s="24"/>
      <c r="BY3" s="25"/>
      <c r="BZ3" s="25"/>
      <c r="CA3" s="26" t="s">
        <v>129</v>
      </c>
      <c r="CB3" s="27" t="s">
        <v>129</v>
      </c>
      <c r="CC3" s="28" t="s">
        <v>129</v>
      </c>
      <c r="CD3" s="29" t="s">
        <v>129</v>
      </c>
      <c r="CE3" s="95">
        <f>IFERROR((VLOOKUP(BX3,Scoring!$A:$B,2,0))+IF(CA3="y",1,0)+IF(CB3="y",1,0)+IF(CC3="y",1,0)+IF(CD3="y",1,0),0)</f>
        <v>0</v>
      </c>
      <c r="CF3" s="24"/>
      <c r="CG3" s="25"/>
      <c r="CH3" s="25"/>
      <c r="CI3" s="26" t="s">
        <v>129</v>
      </c>
      <c r="CJ3" s="27" t="s">
        <v>129</v>
      </c>
      <c r="CK3" s="28" t="s">
        <v>129</v>
      </c>
      <c r="CL3" s="29" t="s">
        <v>129</v>
      </c>
      <c r="CM3" s="95">
        <f>IFERROR((VLOOKUP(CF3,Scoring!$A:$B,2,0))+IF(CI3="y",1,0)+IF(CJ3="y",1,0)+IF(CK3="y",1,0)+IF(CL3="y",1,0),0)</f>
        <v>0</v>
      </c>
      <c r="CN3" s="24"/>
      <c r="CO3" s="25"/>
      <c r="CP3" s="25"/>
      <c r="CQ3" s="26" t="s">
        <v>129</v>
      </c>
      <c r="CR3" s="27" t="s">
        <v>129</v>
      </c>
      <c r="CS3" s="28" t="s">
        <v>129</v>
      </c>
      <c r="CT3" s="29" t="s">
        <v>129</v>
      </c>
      <c r="CU3" s="95">
        <f>IFERROR((VLOOKUP(CN3,Scoring!$A:$B,2,0))+IF(CQ3="y",1,0)+IF(CR3="y",1,0)+IF(CS3="y",1,0)+IF(CT3="y",1,0),0)</f>
        <v>0</v>
      </c>
      <c r="CV3" s="103"/>
      <c r="CW3" s="98"/>
      <c r="CX3" s="98"/>
      <c r="CY3" s="99" t="s">
        <v>129</v>
      </c>
      <c r="CZ3" s="100" t="s">
        <v>129</v>
      </c>
      <c r="DA3" s="101" t="s">
        <v>129</v>
      </c>
      <c r="DB3" s="102" t="s">
        <v>129</v>
      </c>
      <c r="DC3" s="85">
        <f>IFERROR((VLOOKUP(CV3,Scoring!$D:$E,2,0))+IF(CY3="y",1,0)+IF(CZ3="y",1,0)+IF(DA3="y",1,0)+IF(DB3="y",1,0),0)</f>
        <v>0</v>
      </c>
      <c r="DD3" s="24"/>
      <c r="DE3" s="25"/>
      <c r="DF3" s="25"/>
      <c r="DG3" s="26" t="s">
        <v>129</v>
      </c>
      <c r="DH3" s="27" t="s">
        <v>129</v>
      </c>
      <c r="DI3" s="28" t="s">
        <v>129</v>
      </c>
      <c r="DJ3" s="29" t="s">
        <v>129</v>
      </c>
      <c r="DK3" s="95">
        <f>IFERROR((VLOOKUP(DD3,Scoring!$A:$B,2,0))+IF(DG3="y",1,0)+IF(DH3="y",1,0)+IF(DI3="y",1,0)+IF(DJ3="y",1,0),0)</f>
        <v>0</v>
      </c>
      <c r="DL3" s="24"/>
      <c r="DM3" s="25"/>
      <c r="DN3" s="25"/>
      <c r="DO3" s="26" t="s">
        <v>129</v>
      </c>
      <c r="DP3" s="27" t="s">
        <v>129</v>
      </c>
      <c r="DQ3" s="28" t="s">
        <v>129</v>
      </c>
      <c r="DR3" s="29" t="s">
        <v>129</v>
      </c>
      <c r="DS3" s="95">
        <f>IFERROR((VLOOKUP(DL3,Scoring!$A:$B,2,0))+IF(DO3="y",1,0)+IF(DP3="y",1,0)+IF(DQ3="y",1,0)+IF(DR3="y",1,0),0)</f>
        <v>0</v>
      </c>
      <c r="DT3" s="103"/>
      <c r="DU3" s="98"/>
      <c r="DV3" s="98"/>
      <c r="DW3" s="99" t="s">
        <v>129</v>
      </c>
      <c r="DX3" s="100" t="s">
        <v>129</v>
      </c>
      <c r="DY3" s="101" t="s">
        <v>129</v>
      </c>
      <c r="DZ3" s="102" t="s">
        <v>129</v>
      </c>
      <c r="EA3" s="88">
        <f>IFERROR((VLOOKUP(DT3,Scoring!$D:$E,2,0))+IF(DW3="y",1,0)+IF(DX3="y",1,0)+IF(DY3="y",1,0)+IF(DZ3="y",1,0),0)</f>
        <v>0</v>
      </c>
      <c r="EB3" s="104"/>
      <c r="EC3" s="105"/>
      <c r="ED3" s="105"/>
      <c r="EE3" s="106" t="s">
        <v>129</v>
      </c>
      <c r="EF3" s="107" t="s">
        <v>129</v>
      </c>
      <c r="EG3" s="108" t="s">
        <v>129</v>
      </c>
      <c r="EH3" s="109" t="s">
        <v>129</v>
      </c>
      <c r="EI3" s="110">
        <f>IFERROR((VLOOKUP(EB3,Scoring!$A:$B,2,0))+IF(EE3="y",1,0)+IF(EF3="y",1,0)+IF(EG3="y",1,0)+IF(EH3="y",1,0),0)</f>
        <v>0</v>
      </c>
      <c r="EJ3" s="24"/>
      <c r="EK3" s="25"/>
      <c r="EL3" s="25"/>
      <c r="EM3" s="26" t="s">
        <v>129</v>
      </c>
      <c r="EN3" s="27" t="s">
        <v>129</v>
      </c>
      <c r="EO3" s="28" t="s">
        <v>129</v>
      </c>
      <c r="EP3" s="29" t="s">
        <v>129</v>
      </c>
      <c r="EQ3" s="95">
        <f>IFERROR((VLOOKUP(EJ3,Scoring!$A:$B,2,0))+IF(EM3="y",1,0)+IF(EN3="y",1,0)+IF(EO3="y",1,0)+IF(EP3="y",1,0),0)</f>
        <v>0</v>
      </c>
      <c r="ER3" s="104"/>
      <c r="ES3" s="105"/>
      <c r="ET3" s="105"/>
      <c r="EU3" s="106" t="s">
        <v>129</v>
      </c>
      <c r="EV3" s="107" t="s">
        <v>129</v>
      </c>
      <c r="EW3" s="108" t="s">
        <v>129</v>
      </c>
      <c r="EX3" s="109" t="s">
        <v>129</v>
      </c>
      <c r="EY3" s="88">
        <f>IFERROR((VLOOKUP(ER3,Scoring!$D:$E,2,0))+IF(EU3="y",1,0)+IF(EV3="y",1,0)+IF(EW3="y",1,0)+IF(EX3="y",1,0),0)</f>
        <v>0</v>
      </c>
      <c r="EZ3" s="24"/>
      <c r="FA3" s="25"/>
      <c r="FB3" s="25"/>
      <c r="FC3" s="26" t="s">
        <v>129</v>
      </c>
      <c r="FD3" s="27" t="s">
        <v>129</v>
      </c>
      <c r="FE3" s="28" t="s">
        <v>129</v>
      </c>
      <c r="FF3" s="29" t="s">
        <v>129</v>
      </c>
      <c r="FG3" s="95">
        <f>IFERROR((VLOOKUP(EZ3,Scoring!$A:$B,2,0))+IF(FC3="y",1,0)+IF(FD3="y",1,0)+IF(FE3="y",1,0)+IF(FF3="y",1,0),0)</f>
        <v>0</v>
      </c>
      <c r="FH3" s="13">
        <v>0.0</v>
      </c>
    </row>
    <row r="4">
      <c r="A4" s="33" t="s">
        <v>17</v>
      </c>
      <c r="B4" s="34" t="s">
        <v>18</v>
      </c>
      <c r="C4" s="35" t="s">
        <v>19</v>
      </c>
      <c r="D4" s="36">
        <v>7.0</v>
      </c>
      <c r="E4" s="37">
        <v>3.0</v>
      </c>
      <c r="F4" s="37"/>
      <c r="G4" s="38" t="s">
        <v>129</v>
      </c>
      <c r="H4" s="39" t="s">
        <v>129</v>
      </c>
      <c r="I4" s="40" t="s">
        <v>129</v>
      </c>
      <c r="J4" s="41" t="s">
        <v>129</v>
      </c>
      <c r="K4" s="78">
        <f>IFERROR((VLOOKUP(D4,Scoring!$A:$B,2,0))+IF(G4="y",1,0)+IF(H4="y",1,0)+IF(I4="y",1,0)+IF(J4="y",1,0),0)</f>
        <v>6</v>
      </c>
      <c r="L4" s="36">
        <v>2.0</v>
      </c>
      <c r="M4" s="37">
        <v>5.0</v>
      </c>
      <c r="N4" s="37"/>
      <c r="O4" s="38" t="s">
        <v>129</v>
      </c>
      <c r="P4" s="39" t="s">
        <v>129</v>
      </c>
      <c r="Q4" s="40" t="s">
        <v>129</v>
      </c>
      <c r="R4" s="41" t="s">
        <v>129</v>
      </c>
      <c r="S4" s="78">
        <f>IFERROR((VLOOKUP(L4,Scoring!$A:$B,2,0))+IF(O4="y",1,0)+IF(P4="y",1,0)+IF(Q4="y",1,0)+IF(R4="y",1,0),0)</f>
        <v>18</v>
      </c>
      <c r="T4" s="111">
        <v>7.0</v>
      </c>
      <c r="U4" s="112">
        <v>2.0</v>
      </c>
      <c r="V4" s="113"/>
      <c r="W4" s="114" t="s">
        <v>129</v>
      </c>
      <c r="X4" s="115" t="s">
        <v>129</v>
      </c>
      <c r="Y4" s="116" t="s">
        <v>129</v>
      </c>
      <c r="Z4" s="117" t="s">
        <v>129</v>
      </c>
      <c r="AA4" s="85">
        <f>IFERROR((VLOOKUP(T4,Scoring!$D:$E,2,0))+IF(W4="y",1,0)+IF(X4="y",1,0)+IF(Y4="y",1,0)+IF(Z4="y",1,0),0)</f>
        <v>2</v>
      </c>
      <c r="AB4" s="36">
        <v>3.0</v>
      </c>
      <c r="AC4" s="37">
        <v>4.0</v>
      </c>
      <c r="AD4" s="37"/>
      <c r="AE4" s="38" t="s">
        <v>129</v>
      </c>
      <c r="AF4" s="39" t="s">
        <v>129</v>
      </c>
      <c r="AG4" s="40" t="s">
        <v>129</v>
      </c>
      <c r="AH4" s="41" t="s">
        <v>129</v>
      </c>
      <c r="AI4" s="78">
        <f>IFERROR((VLOOKUP(AB4,Scoring!$A:$B,2,0))+IF(AE4="y",1,0)+IF(AF4="y",1,0)+IF(AG4="y",1,0)+IF(AH4="y",1,0),0)</f>
        <v>15</v>
      </c>
      <c r="AJ4" s="36">
        <v>4.0</v>
      </c>
      <c r="AK4" s="37">
        <v>3.0</v>
      </c>
      <c r="AL4" s="37"/>
      <c r="AM4" s="38" t="s">
        <v>129</v>
      </c>
      <c r="AN4" s="39" t="s">
        <v>129</v>
      </c>
      <c r="AO4" s="40" t="s">
        <v>129</v>
      </c>
      <c r="AP4" s="41" t="s">
        <v>129</v>
      </c>
      <c r="AQ4" s="78">
        <f>IFERROR((VLOOKUP(AJ4,Scoring!$A:$B,2,0))+IF(AM4="y",1,0)+IF(AN4="y",1,0)+IF(AO4="y",1,0)+IF(AP4="y",1,0),0)</f>
        <v>12</v>
      </c>
      <c r="AR4" s="111">
        <v>2.0</v>
      </c>
      <c r="AS4" s="112">
        <v>1.0</v>
      </c>
      <c r="AT4" s="113"/>
      <c r="AU4" s="114" t="s">
        <v>129</v>
      </c>
      <c r="AV4" s="115" t="s">
        <v>129</v>
      </c>
      <c r="AW4" s="116" t="s">
        <v>129</v>
      </c>
      <c r="AX4" s="117" t="s">
        <v>129</v>
      </c>
      <c r="AY4" s="85">
        <f>IFERROR((VLOOKUP(AR4,Scoring!$D:$E,2,0))+IF(AU4="y",1,0)+IF(AV4="y",1,0)+IF(AW4="y",1,0)+IF(AX4="y",1,0),0)</f>
        <v>7</v>
      </c>
      <c r="AZ4" s="36">
        <v>4.0</v>
      </c>
      <c r="BA4" s="37">
        <v>8.0</v>
      </c>
      <c r="BB4" s="37"/>
      <c r="BC4" s="38" t="s">
        <v>129</v>
      </c>
      <c r="BD4" s="39" t="s">
        <v>129</v>
      </c>
      <c r="BE4" s="40" t="s">
        <v>129</v>
      </c>
      <c r="BF4" s="41" t="s">
        <v>130</v>
      </c>
      <c r="BG4" s="78">
        <f>IFERROR((VLOOKUP(AZ4,Scoring!$A:$B,2,0))+IF(BC4="y",1,0)+IF(BD4="y",1,0)+IF(BE4="y",1,0)+IF(BF4="y",1,0),0)</f>
        <v>13</v>
      </c>
      <c r="BH4" s="36"/>
      <c r="BI4" s="37"/>
      <c r="BJ4" s="37"/>
      <c r="BK4" s="38" t="s">
        <v>129</v>
      </c>
      <c r="BL4" s="39" t="s">
        <v>129</v>
      </c>
      <c r="BM4" s="40" t="s">
        <v>129</v>
      </c>
      <c r="BN4" s="41" t="s">
        <v>129</v>
      </c>
      <c r="BO4" s="78">
        <f>IFERROR((VLOOKUP(BH4,Scoring!$A:$B,2,0))+IF(BK4="y",1,0)+IF(BL4="y",1,0)+IF(BM4="y",1,0)+IF(BN4="y",1,0),0)</f>
        <v>0</v>
      </c>
      <c r="BP4" s="118"/>
      <c r="BQ4" s="113"/>
      <c r="BR4" s="113"/>
      <c r="BS4" s="114" t="s">
        <v>129</v>
      </c>
      <c r="BT4" s="115" t="s">
        <v>129</v>
      </c>
      <c r="BU4" s="116" t="s">
        <v>129</v>
      </c>
      <c r="BV4" s="117" t="s">
        <v>129</v>
      </c>
      <c r="BW4" s="85">
        <f>IFERROR((VLOOKUP(BP4,Scoring!$D:$E,2,0))+IF(BS4="y",1,0)+IF(BT4="y",1,0)+IF(BU4="y",1,0)+IF(BV4="y",1,0),0)</f>
        <v>0</v>
      </c>
      <c r="BX4" s="36"/>
      <c r="BY4" s="37"/>
      <c r="BZ4" s="37"/>
      <c r="CA4" s="38" t="s">
        <v>129</v>
      </c>
      <c r="CB4" s="39" t="s">
        <v>129</v>
      </c>
      <c r="CC4" s="40" t="s">
        <v>129</v>
      </c>
      <c r="CD4" s="41" t="s">
        <v>129</v>
      </c>
      <c r="CE4" s="78">
        <f>IFERROR((VLOOKUP(BX4,Scoring!$A:$B,2,0))+IF(CA4="y",1,0)+IF(CB4="y",1,0)+IF(CC4="y",1,0)+IF(CD4="y",1,0),0)</f>
        <v>0</v>
      </c>
      <c r="CF4" s="36"/>
      <c r="CG4" s="37"/>
      <c r="CH4" s="37"/>
      <c r="CI4" s="38" t="s">
        <v>129</v>
      </c>
      <c r="CJ4" s="39" t="s">
        <v>129</v>
      </c>
      <c r="CK4" s="40" t="s">
        <v>129</v>
      </c>
      <c r="CL4" s="41" t="s">
        <v>129</v>
      </c>
      <c r="CM4" s="78">
        <f>IFERROR((VLOOKUP(CF4,Scoring!$A:$B,2,0))+IF(CI4="y",1,0)+IF(CJ4="y",1,0)+IF(CK4="y",1,0)+IF(CL4="y",1,0),0)</f>
        <v>0</v>
      </c>
      <c r="CN4" s="36"/>
      <c r="CO4" s="37"/>
      <c r="CP4" s="37"/>
      <c r="CQ4" s="38" t="s">
        <v>129</v>
      </c>
      <c r="CR4" s="39" t="s">
        <v>129</v>
      </c>
      <c r="CS4" s="40" t="s">
        <v>129</v>
      </c>
      <c r="CT4" s="41" t="s">
        <v>129</v>
      </c>
      <c r="CU4" s="78">
        <f>IFERROR((VLOOKUP(CN4,Scoring!$A:$B,2,0))+IF(CQ4="y",1,0)+IF(CR4="y",1,0)+IF(CS4="y",1,0)+IF(CT4="y",1,0),0)</f>
        <v>0</v>
      </c>
      <c r="CV4" s="118"/>
      <c r="CW4" s="113"/>
      <c r="CX4" s="113"/>
      <c r="CY4" s="114" t="s">
        <v>129</v>
      </c>
      <c r="CZ4" s="115" t="s">
        <v>129</v>
      </c>
      <c r="DA4" s="116" t="s">
        <v>129</v>
      </c>
      <c r="DB4" s="117" t="s">
        <v>129</v>
      </c>
      <c r="DC4" s="85">
        <f>IFERROR((VLOOKUP(CV4,Scoring!$D:$E,2,0))+IF(CY4="y",1,0)+IF(CZ4="y",1,0)+IF(DA4="y",1,0)+IF(DB4="y",1,0),0)</f>
        <v>0</v>
      </c>
      <c r="DD4" s="36"/>
      <c r="DE4" s="37"/>
      <c r="DF4" s="37"/>
      <c r="DG4" s="38" t="s">
        <v>129</v>
      </c>
      <c r="DH4" s="39" t="s">
        <v>129</v>
      </c>
      <c r="DI4" s="40" t="s">
        <v>129</v>
      </c>
      <c r="DJ4" s="41" t="s">
        <v>129</v>
      </c>
      <c r="DK4" s="78">
        <f>IFERROR((VLOOKUP(DD4,Scoring!$A:$B,2,0))+IF(DG4="y",1,0)+IF(DH4="y",1,0)+IF(DI4="y",1,0)+IF(DJ4="y",1,0),0)</f>
        <v>0</v>
      </c>
      <c r="DL4" s="36"/>
      <c r="DM4" s="37"/>
      <c r="DN4" s="37"/>
      <c r="DO4" s="38" t="s">
        <v>129</v>
      </c>
      <c r="DP4" s="39" t="s">
        <v>129</v>
      </c>
      <c r="DQ4" s="40" t="s">
        <v>129</v>
      </c>
      <c r="DR4" s="41" t="s">
        <v>129</v>
      </c>
      <c r="DS4" s="78">
        <f>IFERROR((VLOOKUP(DL4,Scoring!$A:$B,2,0))+IF(DO4="y",1,0)+IF(DP4="y",1,0)+IF(DQ4="y",1,0)+IF(DR4="y",1,0),0)</f>
        <v>0</v>
      </c>
      <c r="DT4" s="118"/>
      <c r="DU4" s="113"/>
      <c r="DV4" s="113"/>
      <c r="DW4" s="114" t="s">
        <v>129</v>
      </c>
      <c r="DX4" s="115" t="s">
        <v>129</v>
      </c>
      <c r="DY4" s="116" t="s">
        <v>129</v>
      </c>
      <c r="DZ4" s="117" t="s">
        <v>129</v>
      </c>
      <c r="EA4" s="88">
        <f>IFERROR((VLOOKUP(DT4,Scoring!$D:$E,2,0))+IF(DW4="y",1,0)+IF(DX4="y",1,0)+IF(DY4="y",1,0)+IF(DZ4="y",1,0),0)</f>
        <v>0</v>
      </c>
      <c r="EB4" s="119"/>
      <c r="EC4" s="120"/>
      <c r="ED4" s="120"/>
      <c r="EE4" s="121" t="s">
        <v>129</v>
      </c>
      <c r="EF4" s="122" t="s">
        <v>129</v>
      </c>
      <c r="EG4" s="123" t="s">
        <v>129</v>
      </c>
      <c r="EH4" s="124" t="s">
        <v>129</v>
      </c>
      <c r="EI4" s="88">
        <f>IFERROR((VLOOKUP(EB4,Scoring!$A:$B,2,0))+IF(EE4="y",1,0)+IF(EF4="y",1,0)+IF(EG4="y",1,0)+IF(EH4="y",1,0),0)</f>
        <v>0</v>
      </c>
      <c r="EJ4" s="36"/>
      <c r="EK4" s="37"/>
      <c r="EL4" s="37"/>
      <c r="EM4" s="38" t="s">
        <v>129</v>
      </c>
      <c r="EN4" s="39" t="s">
        <v>129</v>
      </c>
      <c r="EO4" s="40" t="s">
        <v>129</v>
      </c>
      <c r="EP4" s="41" t="s">
        <v>129</v>
      </c>
      <c r="EQ4" s="78">
        <f>IFERROR((VLOOKUP(EJ4,Scoring!$A:$B,2,0))+IF(EM4="y",1,0)+IF(EN4="y",1,0)+IF(EO4="y",1,0)+IF(EP4="y",1,0),0)</f>
        <v>0</v>
      </c>
      <c r="ER4" s="119"/>
      <c r="ES4" s="120"/>
      <c r="ET4" s="120"/>
      <c r="EU4" s="121" t="s">
        <v>129</v>
      </c>
      <c r="EV4" s="122" t="s">
        <v>129</v>
      </c>
      <c r="EW4" s="123" t="s">
        <v>129</v>
      </c>
      <c r="EX4" s="124" t="s">
        <v>129</v>
      </c>
      <c r="EY4" s="88">
        <f>IFERROR((VLOOKUP(ER4,Scoring!$D:$E,2,0))+IF(EU4="y",1,0)+IF(EV4="y",1,0)+IF(EW4="y",1,0)+IF(EX4="y",1,0),0)</f>
        <v>0</v>
      </c>
      <c r="EZ4" s="36"/>
      <c r="FA4" s="37"/>
      <c r="FB4" s="37"/>
      <c r="FC4" s="38" t="s">
        <v>129</v>
      </c>
      <c r="FD4" s="39" t="s">
        <v>129</v>
      </c>
      <c r="FE4" s="40" t="s">
        <v>129</v>
      </c>
      <c r="FF4" s="41" t="s">
        <v>129</v>
      </c>
      <c r="FG4" s="78">
        <f>IFERROR((VLOOKUP(EZ4,Scoring!$A:$B,2,0))+IF(FC4="y",1,0)+IF(FD4="y",1,0)+IF(FE4="y",1,0)+IF(FF4="y",1,0),0)</f>
        <v>0</v>
      </c>
      <c r="FH4" s="13">
        <v>0.0</v>
      </c>
    </row>
    <row r="5">
      <c r="A5" s="45" t="s">
        <v>17</v>
      </c>
      <c r="B5" s="46" t="s">
        <v>33</v>
      </c>
      <c r="C5" s="47" t="s">
        <v>34</v>
      </c>
      <c r="D5" s="48">
        <v>10.0</v>
      </c>
      <c r="E5" s="49">
        <v>24.0</v>
      </c>
      <c r="F5" s="49">
        <v>14.0</v>
      </c>
      <c r="G5" s="50" t="s">
        <v>129</v>
      </c>
      <c r="H5" s="51" t="s">
        <v>129</v>
      </c>
      <c r="I5" s="52" t="s">
        <v>129</v>
      </c>
      <c r="J5" s="53" t="s">
        <v>129</v>
      </c>
      <c r="K5" s="95">
        <f>IFERROR((VLOOKUP(D5,Scoring!$A:$B,2,0))+IF(G5="y",1,0)+IF(H5="y",1,0)+IF(I5="y",1,0)+IF(J5="y",1,0),0)</f>
        <v>2</v>
      </c>
      <c r="L5" s="48">
        <v>6.0</v>
      </c>
      <c r="M5" s="49">
        <v>24.0</v>
      </c>
      <c r="N5" s="49">
        <v>12.0</v>
      </c>
      <c r="O5" s="50" t="s">
        <v>129</v>
      </c>
      <c r="P5" s="51" t="s">
        <v>130</v>
      </c>
      <c r="Q5" s="52" t="s">
        <v>130</v>
      </c>
      <c r="R5" s="53" t="s">
        <v>129</v>
      </c>
      <c r="S5" s="95">
        <f>IFERROR((VLOOKUP(L5,Scoring!$A:$B,2,0))+IF(O5="y",1,0)+IF(P5="y",1,0)+IF(Q5="y",1,0)+IF(R5="y",1,0),0)</f>
        <v>10</v>
      </c>
      <c r="T5" s="125">
        <v>6.0</v>
      </c>
      <c r="U5" s="126">
        <v>7.0</v>
      </c>
      <c r="V5" s="127"/>
      <c r="W5" s="128" t="s">
        <v>129</v>
      </c>
      <c r="X5" s="129" t="s">
        <v>129</v>
      </c>
      <c r="Y5" s="130" t="s">
        <v>129</v>
      </c>
      <c r="Z5" s="131" t="s">
        <v>129</v>
      </c>
      <c r="AA5" s="85">
        <f>IFERROR((VLOOKUP(T5,Scoring!$D:$E,2,0))+IF(W5="y",1,0)+IF(X5="y",1,0)+IF(Y5="y",1,0)+IF(Z5="y",1,0),0)</f>
        <v>3</v>
      </c>
      <c r="AB5" s="48">
        <v>23.0</v>
      </c>
      <c r="AC5" s="49">
        <v>5.0</v>
      </c>
      <c r="AD5" s="49"/>
      <c r="AE5" s="50" t="s">
        <v>129</v>
      </c>
      <c r="AF5" s="51" t="s">
        <v>129</v>
      </c>
      <c r="AG5" s="52" t="s">
        <v>129</v>
      </c>
      <c r="AH5" s="53" t="s">
        <v>129</v>
      </c>
      <c r="AI5" s="95">
        <f>IFERROR((VLOOKUP(AB5,Scoring!$A:$B,2,0))+IF(AE5="y",1,0)+IF(AF5="y",1,0)+IF(AG5="y",1,0)+IF(AH5="y",1,0),0)</f>
        <v>0</v>
      </c>
      <c r="AJ5" s="48">
        <v>5.0</v>
      </c>
      <c r="AK5" s="49">
        <v>24.0</v>
      </c>
      <c r="AL5" s="49">
        <v>10.0</v>
      </c>
      <c r="AM5" s="50" t="s">
        <v>129</v>
      </c>
      <c r="AN5" s="51" t="s">
        <v>129</v>
      </c>
      <c r="AO5" s="52" t="s">
        <v>130</v>
      </c>
      <c r="AP5" s="53" t="s">
        <v>129</v>
      </c>
      <c r="AQ5" s="95">
        <f>IFERROR((VLOOKUP(AJ5,Scoring!$A:$B,2,0))+IF(AM5="y",1,0)+IF(AN5="y",1,0)+IF(AO5="y",1,0)+IF(AP5="y",1,0),0)</f>
        <v>11</v>
      </c>
      <c r="AR5" s="125">
        <v>5.0</v>
      </c>
      <c r="AS5" s="126">
        <v>24.0</v>
      </c>
      <c r="AT5" s="126">
        <v>10.0</v>
      </c>
      <c r="AU5" s="128" t="s">
        <v>129</v>
      </c>
      <c r="AV5" s="129" t="s">
        <v>129</v>
      </c>
      <c r="AW5" s="130" t="s">
        <v>129</v>
      </c>
      <c r="AX5" s="131" t="s">
        <v>129</v>
      </c>
      <c r="AY5" s="85">
        <f>IFERROR((VLOOKUP(AR5,Scoring!$D:$E,2,0))+IF(AU5="y",1,0)+IF(AV5="y",1,0)+IF(AW5="y",1,0)+IF(AX5="y",1,0),0)</f>
        <v>4</v>
      </c>
      <c r="AZ5" s="48">
        <v>23.0</v>
      </c>
      <c r="BA5" s="49">
        <v>5.0</v>
      </c>
      <c r="BB5" s="49"/>
      <c r="BC5" s="50" t="s">
        <v>129</v>
      </c>
      <c r="BD5" s="51" t="s">
        <v>129</v>
      </c>
      <c r="BE5" s="52" t="s">
        <v>129</v>
      </c>
      <c r="BF5" s="53" t="s">
        <v>129</v>
      </c>
      <c r="BG5" s="95">
        <f>IFERROR((VLOOKUP(AZ5,Scoring!$A:$B,2,0))+IF(BC5="y",1,0)+IF(BD5="y",1,0)+IF(BE5="y",1,0)+IF(BF5="y",1,0),0)</f>
        <v>0</v>
      </c>
      <c r="BH5" s="48"/>
      <c r="BI5" s="49"/>
      <c r="BJ5" s="49"/>
      <c r="BK5" s="50" t="s">
        <v>129</v>
      </c>
      <c r="BL5" s="51" t="s">
        <v>129</v>
      </c>
      <c r="BM5" s="52" t="s">
        <v>129</v>
      </c>
      <c r="BN5" s="53" t="s">
        <v>129</v>
      </c>
      <c r="BO5" s="95">
        <f>IFERROR((VLOOKUP(BH5,Scoring!$A:$B,2,0))+IF(BK5="y",1,0)+IF(BL5="y",1,0)+IF(BM5="y",1,0)+IF(BN5="y",1,0),0)</f>
        <v>0</v>
      </c>
      <c r="BP5" s="132"/>
      <c r="BQ5" s="127"/>
      <c r="BR5" s="127"/>
      <c r="BS5" s="128" t="s">
        <v>129</v>
      </c>
      <c r="BT5" s="129" t="s">
        <v>129</v>
      </c>
      <c r="BU5" s="130" t="s">
        <v>129</v>
      </c>
      <c r="BV5" s="131" t="s">
        <v>129</v>
      </c>
      <c r="BW5" s="85">
        <f>IFERROR((VLOOKUP(BP5,Scoring!$D:$E,2,0))+IF(BS5="y",1,0)+IF(BT5="y",1,0)+IF(BU5="y",1,0)+IF(BV5="y",1,0),0)</f>
        <v>0</v>
      </c>
      <c r="BX5" s="48"/>
      <c r="BY5" s="49"/>
      <c r="BZ5" s="49"/>
      <c r="CA5" s="50" t="s">
        <v>129</v>
      </c>
      <c r="CB5" s="51" t="s">
        <v>129</v>
      </c>
      <c r="CC5" s="52" t="s">
        <v>129</v>
      </c>
      <c r="CD5" s="53" t="s">
        <v>129</v>
      </c>
      <c r="CE5" s="95">
        <f>IFERROR((VLOOKUP(BX5,Scoring!$A:$B,2,0))+IF(CA5="y",1,0)+IF(CB5="y",1,0)+IF(CC5="y",1,0)+IF(CD5="y",1,0),0)</f>
        <v>0</v>
      </c>
      <c r="CF5" s="48"/>
      <c r="CG5" s="49"/>
      <c r="CH5" s="49"/>
      <c r="CI5" s="50" t="s">
        <v>129</v>
      </c>
      <c r="CJ5" s="51" t="s">
        <v>129</v>
      </c>
      <c r="CK5" s="52" t="s">
        <v>129</v>
      </c>
      <c r="CL5" s="53" t="s">
        <v>129</v>
      </c>
      <c r="CM5" s="95">
        <f>IFERROR((VLOOKUP(CF5,Scoring!$A:$B,2,0))+IF(CI5="y",1,0)+IF(CJ5="y",1,0)+IF(CK5="y",1,0)+IF(CL5="y",1,0),0)</f>
        <v>0</v>
      </c>
      <c r="CN5" s="48"/>
      <c r="CO5" s="49"/>
      <c r="CP5" s="49"/>
      <c r="CQ5" s="50" t="s">
        <v>129</v>
      </c>
      <c r="CR5" s="51" t="s">
        <v>129</v>
      </c>
      <c r="CS5" s="52" t="s">
        <v>129</v>
      </c>
      <c r="CT5" s="53" t="s">
        <v>129</v>
      </c>
      <c r="CU5" s="95">
        <f>IFERROR((VLOOKUP(CN5,Scoring!$A:$B,2,0))+IF(CQ5="y",1,0)+IF(CR5="y",1,0)+IF(CS5="y",1,0)+IF(CT5="y",1,0),0)</f>
        <v>0</v>
      </c>
      <c r="CV5" s="132"/>
      <c r="CW5" s="127"/>
      <c r="CX5" s="127"/>
      <c r="CY5" s="128" t="s">
        <v>129</v>
      </c>
      <c r="CZ5" s="129" t="s">
        <v>129</v>
      </c>
      <c r="DA5" s="130" t="s">
        <v>129</v>
      </c>
      <c r="DB5" s="131" t="s">
        <v>129</v>
      </c>
      <c r="DC5" s="85">
        <f>IFERROR((VLOOKUP(CV5,Scoring!$D:$E,2,0))+IF(CY5="y",1,0)+IF(CZ5="y",1,0)+IF(DA5="y",1,0)+IF(DB5="y",1,0),0)</f>
        <v>0</v>
      </c>
      <c r="DD5" s="48"/>
      <c r="DE5" s="49"/>
      <c r="DF5" s="49"/>
      <c r="DG5" s="50" t="s">
        <v>129</v>
      </c>
      <c r="DH5" s="51" t="s">
        <v>129</v>
      </c>
      <c r="DI5" s="52" t="s">
        <v>129</v>
      </c>
      <c r="DJ5" s="53" t="s">
        <v>129</v>
      </c>
      <c r="DK5" s="95">
        <f>IFERROR((VLOOKUP(DD5,Scoring!$A:$B,2,0))+IF(DG5="y",1,0)+IF(DH5="y",1,0)+IF(DI5="y",1,0)+IF(DJ5="y",1,0),0)</f>
        <v>0</v>
      </c>
      <c r="DL5" s="48"/>
      <c r="DM5" s="49"/>
      <c r="DN5" s="49"/>
      <c r="DO5" s="50" t="s">
        <v>129</v>
      </c>
      <c r="DP5" s="51" t="s">
        <v>129</v>
      </c>
      <c r="DQ5" s="52" t="s">
        <v>129</v>
      </c>
      <c r="DR5" s="53" t="s">
        <v>129</v>
      </c>
      <c r="DS5" s="95">
        <f>IFERROR((VLOOKUP(DL5,Scoring!$A:$B,2,0))+IF(DO5="y",1,0)+IF(DP5="y",1,0)+IF(DQ5="y",1,0)+IF(DR5="y",1,0),0)</f>
        <v>0</v>
      </c>
      <c r="DT5" s="132"/>
      <c r="DU5" s="127"/>
      <c r="DV5" s="127"/>
      <c r="DW5" s="128" t="s">
        <v>129</v>
      </c>
      <c r="DX5" s="129" t="s">
        <v>129</v>
      </c>
      <c r="DY5" s="130" t="s">
        <v>129</v>
      </c>
      <c r="DZ5" s="131" t="s">
        <v>129</v>
      </c>
      <c r="EA5" s="88">
        <f>IFERROR((VLOOKUP(DT5,Scoring!$D:$E,2,0))+IF(DW5="y",1,0)+IF(DX5="y",1,0)+IF(DY5="y",1,0)+IF(DZ5="y",1,0),0)</f>
        <v>0</v>
      </c>
      <c r="EB5" s="133"/>
      <c r="EC5" s="134"/>
      <c r="ED5" s="134"/>
      <c r="EE5" s="135" t="s">
        <v>129</v>
      </c>
      <c r="EF5" s="136" t="s">
        <v>129</v>
      </c>
      <c r="EG5" s="137" t="s">
        <v>129</v>
      </c>
      <c r="EH5" s="138" t="s">
        <v>129</v>
      </c>
      <c r="EI5" s="110">
        <f>IFERROR((VLOOKUP(EB5,Scoring!$A:$B,2,0))+IF(EE5="y",1,0)+IF(EF5="y",1,0)+IF(EG5="y",1,0)+IF(EH5="y",1,0),0)</f>
        <v>0</v>
      </c>
      <c r="EJ5" s="48"/>
      <c r="EK5" s="49"/>
      <c r="EL5" s="49"/>
      <c r="EM5" s="50" t="s">
        <v>129</v>
      </c>
      <c r="EN5" s="51" t="s">
        <v>129</v>
      </c>
      <c r="EO5" s="52" t="s">
        <v>129</v>
      </c>
      <c r="EP5" s="53" t="s">
        <v>129</v>
      </c>
      <c r="EQ5" s="95">
        <f>IFERROR((VLOOKUP(EJ5,Scoring!$A:$B,2,0))+IF(EM5="y",1,0)+IF(EN5="y",1,0)+IF(EO5="y",1,0)+IF(EP5="y",1,0),0)</f>
        <v>0</v>
      </c>
      <c r="ER5" s="133"/>
      <c r="ES5" s="134"/>
      <c r="ET5" s="134"/>
      <c r="EU5" s="135" t="s">
        <v>129</v>
      </c>
      <c r="EV5" s="136" t="s">
        <v>129</v>
      </c>
      <c r="EW5" s="137" t="s">
        <v>129</v>
      </c>
      <c r="EX5" s="138" t="s">
        <v>129</v>
      </c>
      <c r="EY5" s="88">
        <f>IFERROR((VLOOKUP(ER5,Scoring!$D:$E,2,0))+IF(EU5="y",1,0)+IF(EV5="y",1,0)+IF(EW5="y",1,0)+IF(EX5="y",1,0),0)</f>
        <v>0</v>
      </c>
      <c r="EZ5" s="48"/>
      <c r="FA5" s="49"/>
      <c r="FB5" s="49"/>
      <c r="FC5" s="50" t="s">
        <v>129</v>
      </c>
      <c r="FD5" s="51" t="s">
        <v>129</v>
      </c>
      <c r="FE5" s="52" t="s">
        <v>129</v>
      </c>
      <c r="FF5" s="53" t="s">
        <v>129</v>
      </c>
      <c r="FG5" s="95">
        <f>IFERROR((VLOOKUP(EZ5,Scoring!$A:$B,2,0))+IF(FC5="y",1,0)+IF(FD5="y",1,0)+IF(FE5="y",1,0)+IF(FF5="y",1,0),0)</f>
        <v>0</v>
      </c>
      <c r="FH5" s="13">
        <v>0.0</v>
      </c>
    </row>
    <row r="6">
      <c r="A6" s="14" t="s">
        <v>367</v>
      </c>
      <c r="B6" s="1" t="s">
        <v>23</v>
      </c>
      <c r="C6" s="15" t="s">
        <v>24</v>
      </c>
      <c r="D6" s="24">
        <v>4.0</v>
      </c>
      <c r="E6" s="25">
        <v>6.0</v>
      </c>
      <c r="F6" s="25"/>
      <c r="G6" s="26" t="s">
        <v>129</v>
      </c>
      <c r="H6" s="27" t="s">
        <v>129</v>
      </c>
      <c r="I6" s="28" t="s">
        <v>129</v>
      </c>
      <c r="J6" s="29" t="s">
        <v>129</v>
      </c>
      <c r="K6" s="78">
        <f>IFERROR((VLOOKUP(D6,Scoring!$A:$B,2,0))+IF(G6="y",1,0)+IF(H6="y",1,0)+IF(I6="y",1,0)+IF(J6="y",1,0),0)</f>
        <v>12</v>
      </c>
      <c r="L6" s="24">
        <v>8.0</v>
      </c>
      <c r="M6" s="25">
        <v>7.0</v>
      </c>
      <c r="N6" s="25"/>
      <c r="O6" s="26" t="s">
        <v>130</v>
      </c>
      <c r="P6" s="27" t="s">
        <v>129</v>
      </c>
      <c r="Q6" s="28" t="s">
        <v>129</v>
      </c>
      <c r="R6" s="29" t="s">
        <v>130</v>
      </c>
      <c r="S6" s="78">
        <f>IFERROR((VLOOKUP(L6,Scoring!$A:$B,2,0))+IF(O6="y",1,0)+IF(P6="y",1,0)+IF(Q6="y",1,0)+IF(R6="y",1,0),0)</f>
        <v>6</v>
      </c>
      <c r="T6" s="96">
        <v>4.0</v>
      </c>
      <c r="U6" s="97">
        <v>5.0</v>
      </c>
      <c r="V6" s="98"/>
      <c r="W6" s="99" t="s">
        <v>129</v>
      </c>
      <c r="X6" s="100" t="s">
        <v>129</v>
      </c>
      <c r="Y6" s="101" t="s">
        <v>129</v>
      </c>
      <c r="Z6" s="102" t="s">
        <v>129</v>
      </c>
      <c r="AA6" s="85">
        <f>IFERROR((VLOOKUP(T6,Scoring!$D:$E,2,0))+IF(W6="y",1,0)+IF(X6="y",1,0)+IF(Y6="y",1,0)+IF(Z6="y",1,0),0)</f>
        <v>5</v>
      </c>
      <c r="AB6" s="24">
        <v>4.0</v>
      </c>
      <c r="AC6" s="25">
        <v>7.0</v>
      </c>
      <c r="AD6" s="25"/>
      <c r="AE6" s="26" t="s">
        <v>129</v>
      </c>
      <c r="AF6" s="27" t="s">
        <v>129</v>
      </c>
      <c r="AG6" s="28" t="s">
        <v>129</v>
      </c>
      <c r="AH6" s="29" t="s">
        <v>130</v>
      </c>
      <c r="AI6" s="78">
        <f>IFERROR((VLOOKUP(AB6,Scoring!$A:$B,2,0))+IF(AE6="y",1,0)+IF(AF6="y",1,0)+IF(AG6="y",1,0)+IF(AH6="y",1,0),0)</f>
        <v>13</v>
      </c>
      <c r="AJ6" s="24">
        <v>9.0</v>
      </c>
      <c r="AK6" s="25">
        <v>5.0</v>
      </c>
      <c r="AL6" s="25"/>
      <c r="AM6" s="26" t="s">
        <v>130</v>
      </c>
      <c r="AN6" s="27" t="s">
        <v>129</v>
      </c>
      <c r="AO6" s="28" t="s">
        <v>129</v>
      </c>
      <c r="AP6" s="29" t="s">
        <v>129</v>
      </c>
      <c r="AQ6" s="78">
        <f>IFERROR((VLOOKUP(AJ6,Scoring!$A:$B,2,0))+IF(AM6="y",1,0)+IF(AN6="y",1,0)+IF(AO6="y",1,0)+IF(AP6="y",1,0),0)</f>
        <v>4</v>
      </c>
      <c r="AR6" s="96">
        <v>4.0</v>
      </c>
      <c r="AS6" s="97">
        <v>2.0</v>
      </c>
      <c r="AT6" s="98"/>
      <c r="AU6" s="99" t="s">
        <v>129</v>
      </c>
      <c r="AV6" s="100" t="s">
        <v>129</v>
      </c>
      <c r="AW6" s="101" t="s">
        <v>129</v>
      </c>
      <c r="AX6" s="102" t="s">
        <v>129</v>
      </c>
      <c r="AY6" s="85">
        <f>IFERROR((VLOOKUP(AR6,Scoring!$D:$E,2,0))+IF(AU6="y",1,0)+IF(AV6="y",1,0)+IF(AW6="y",1,0)+IF(AX6="y",1,0),0)</f>
        <v>5</v>
      </c>
      <c r="AZ6" s="24">
        <v>5.0</v>
      </c>
      <c r="BA6" s="25">
        <v>6.0</v>
      </c>
      <c r="BB6" s="25"/>
      <c r="BC6" s="26" t="s">
        <v>129</v>
      </c>
      <c r="BD6" s="27" t="s">
        <v>129</v>
      </c>
      <c r="BE6" s="28" t="s">
        <v>129</v>
      </c>
      <c r="BF6" s="29" t="s">
        <v>129</v>
      </c>
      <c r="BG6" s="78">
        <f>IFERROR((VLOOKUP(AZ6,Scoring!$A:$B,2,0))+IF(BC6="y",1,0)+IF(BD6="y",1,0)+IF(BE6="y",1,0)+IF(BF6="y",1,0),0)</f>
        <v>10</v>
      </c>
      <c r="BH6" s="24"/>
      <c r="BI6" s="25"/>
      <c r="BJ6" s="25"/>
      <c r="BK6" s="26" t="s">
        <v>129</v>
      </c>
      <c r="BL6" s="27" t="s">
        <v>129</v>
      </c>
      <c r="BM6" s="28" t="s">
        <v>129</v>
      </c>
      <c r="BN6" s="29" t="s">
        <v>129</v>
      </c>
      <c r="BO6" s="78">
        <f>IFERROR((VLOOKUP(BH6,Scoring!$A:$B,2,0))+IF(BK6="y",1,0)+IF(BL6="y",1,0)+IF(BM6="y",1,0)+IF(BN6="y",1,0),0)</f>
        <v>0</v>
      </c>
      <c r="BP6" s="103"/>
      <c r="BQ6" s="98"/>
      <c r="BR6" s="98"/>
      <c r="BS6" s="99" t="s">
        <v>129</v>
      </c>
      <c r="BT6" s="100" t="s">
        <v>129</v>
      </c>
      <c r="BU6" s="101" t="s">
        <v>129</v>
      </c>
      <c r="BV6" s="102" t="s">
        <v>129</v>
      </c>
      <c r="BW6" s="85">
        <f>IFERROR((VLOOKUP(BP6,Scoring!$D:$E,2,0))+IF(BS6="y",1,0)+IF(BT6="y",1,0)+IF(BU6="y",1,0)+IF(BV6="y",1,0),0)</f>
        <v>0</v>
      </c>
      <c r="BX6" s="24"/>
      <c r="BY6" s="25"/>
      <c r="BZ6" s="25"/>
      <c r="CA6" s="26" t="s">
        <v>129</v>
      </c>
      <c r="CB6" s="27" t="s">
        <v>129</v>
      </c>
      <c r="CC6" s="28" t="s">
        <v>129</v>
      </c>
      <c r="CD6" s="29" t="s">
        <v>129</v>
      </c>
      <c r="CE6" s="78">
        <f>IFERROR((VLOOKUP(BX6,Scoring!$A:$B,2,0))+IF(CA6="y",1,0)+IF(CB6="y",1,0)+IF(CC6="y",1,0)+IF(CD6="y",1,0),0)</f>
        <v>0</v>
      </c>
      <c r="CF6" s="24"/>
      <c r="CG6" s="25"/>
      <c r="CH6" s="25"/>
      <c r="CI6" s="26" t="s">
        <v>129</v>
      </c>
      <c r="CJ6" s="27" t="s">
        <v>129</v>
      </c>
      <c r="CK6" s="28" t="s">
        <v>129</v>
      </c>
      <c r="CL6" s="29" t="s">
        <v>129</v>
      </c>
      <c r="CM6" s="78">
        <f>IFERROR((VLOOKUP(CF6,Scoring!$A:$B,2,0))+IF(CI6="y",1,0)+IF(CJ6="y",1,0)+IF(CK6="y",1,0)+IF(CL6="y",1,0),0)</f>
        <v>0</v>
      </c>
      <c r="CN6" s="24"/>
      <c r="CO6" s="25"/>
      <c r="CP6" s="25"/>
      <c r="CQ6" s="26" t="s">
        <v>129</v>
      </c>
      <c r="CR6" s="27" t="s">
        <v>129</v>
      </c>
      <c r="CS6" s="28" t="s">
        <v>129</v>
      </c>
      <c r="CT6" s="29" t="s">
        <v>129</v>
      </c>
      <c r="CU6" s="78">
        <f>IFERROR((VLOOKUP(CN6,Scoring!$A:$B,2,0))+IF(CQ6="y",1,0)+IF(CR6="y",1,0)+IF(CS6="y",1,0)+IF(CT6="y",1,0),0)</f>
        <v>0</v>
      </c>
      <c r="CV6" s="103"/>
      <c r="CW6" s="98"/>
      <c r="CX6" s="98"/>
      <c r="CY6" s="99" t="s">
        <v>129</v>
      </c>
      <c r="CZ6" s="100" t="s">
        <v>129</v>
      </c>
      <c r="DA6" s="101" t="s">
        <v>129</v>
      </c>
      <c r="DB6" s="102" t="s">
        <v>129</v>
      </c>
      <c r="DC6" s="85">
        <f>IFERROR((VLOOKUP(CV6,Scoring!$D:$E,2,0))+IF(CY6="y",1,0)+IF(CZ6="y",1,0)+IF(DA6="y",1,0)+IF(DB6="y",1,0),0)</f>
        <v>0</v>
      </c>
      <c r="DD6" s="24"/>
      <c r="DE6" s="25"/>
      <c r="DF6" s="25"/>
      <c r="DG6" s="26" t="s">
        <v>129</v>
      </c>
      <c r="DH6" s="27" t="s">
        <v>129</v>
      </c>
      <c r="DI6" s="28" t="s">
        <v>129</v>
      </c>
      <c r="DJ6" s="29" t="s">
        <v>129</v>
      </c>
      <c r="DK6" s="78">
        <f>IFERROR((VLOOKUP(DD6,Scoring!$A:$B,2,0))+IF(DG6="y",1,0)+IF(DH6="y",1,0)+IF(DI6="y",1,0)+IF(DJ6="y",1,0),0)</f>
        <v>0</v>
      </c>
      <c r="DL6" s="24"/>
      <c r="DM6" s="25"/>
      <c r="DN6" s="25"/>
      <c r="DO6" s="26" t="s">
        <v>129</v>
      </c>
      <c r="DP6" s="27" t="s">
        <v>129</v>
      </c>
      <c r="DQ6" s="28" t="s">
        <v>129</v>
      </c>
      <c r="DR6" s="29" t="s">
        <v>129</v>
      </c>
      <c r="DS6" s="78">
        <f>IFERROR((VLOOKUP(DL6,Scoring!$A:$B,2,0))+IF(DO6="y",1,0)+IF(DP6="y",1,0)+IF(DQ6="y",1,0)+IF(DR6="y",1,0),0)</f>
        <v>0</v>
      </c>
      <c r="DT6" s="103"/>
      <c r="DU6" s="98"/>
      <c r="DV6" s="98"/>
      <c r="DW6" s="99" t="s">
        <v>129</v>
      </c>
      <c r="DX6" s="100" t="s">
        <v>129</v>
      </c>
      <c r="DY6" s="101" t="s">
        <v>129</v>
      </c>
      <c r="DZ6" s="102" t="s">
        <v>129</v>
      </c>
      <c r="EA6" s="88">
        <f>IFERROR((VLOOKUP(DT6,Scoring!$D:$E,2,0))+IF(DW6="y",1,0)+IF(DX6="y",1,0)+IF(DY6="y",1,0)+IF(DZ6="y",1,0),0)</f>
        <v>0</v>
      </c>
      <c r="EB6" s="104"/>
      <c r="EC6" s="105"/>
      <c r="ED6" s="105"/>
      <c r="EE6" s="106" t="s">
        <v>129</v>
      </c>
      <c r="EF6" s="107" t="s">
        <v>129</v>
      </c>
      <c r="EG6" s="108" t="s">
        <v>129</v>
      </c>
      <c r="EH6" s="109" t="s">
        <v>129</v>
      </c>
      <c r="EI6" s="88">
        <f>IFERROR((VLOOKUP(EB6,Scoring!$A:$B,2,0))+IF(EE6="y",1,0)+IF(EF6="y",1,0)+IF(EG6="y",1,0)+IF(EH6="y",1,0),0)</f>
        <v>0</v>
      </c>
      <c r="EJ6" s="24"/>
      <c r="EK6" s="25"/>
      <c r="EL6" s="25"/>
      <c r="EM6" s="26" t="s">
        <v>129</v>
      </c>
      <c r="EN6" s="27" t="s">
        <v>129</v>
      </c>
      <c r="EO6" s="28" t="s">
        <v>129</v>
      </c>
      <c r="EP6" s="29" t="s">
        <v>129</v>
      </c>
      <c r="EQ6" s="78">
        <f>IFERROR((VLOOKUP(EJ6,Scoring!$A:$B,2,0))+IF(EM6="y",1,0)+IF(EN6="y",1,0)+IF(EO6="y",1,0)+IF(EP6="y",1,0),0)</f>
        <v>0</v>
      </c>
      <c r="ER6" s="104"/>
      <c r="ES6" s="105"/>
      <c r="ET6" s="105"/>
      <c r="EU6" s="106" t="s">
        <v>129</v>
      </c>
      <c r="EV6" s="107" t="s">
        <v>129</v>
      </c>
      <c r="EW6" s="108" t="s">
        <v>129</v>
      </c>
      <c r="EX6" s="109" t="s">
        <v>129</v>
      </c>
      <c r="EY6" s="88">
        <f>IFERROR((VLOOKUP(ER6,Scoring!$D:$E,2,0))+IF(EU6="y",1,0)+IF(EV6="y",1,0)+IF(EW6="y",1,0)+IF(EX6="y",1,0),0)</f>
        <v>0</v>
      </c>
      <c r="EZ6" s="24"/>
      <c r="FA6" s="25"/>
      <c r="FB6" s="25"/>
      <c r="FC6" s="26" t="s">
        <v>129</v>
      </c>
      <c r="FD6" s="27" t="s">
        <v>129</v>
      </c>
      <c r="FE6" s="28" t="s">
        <v>129</v>
      </c>
      <c r="FF6" s="29" t="s">
        <v>129</v>
      </c>
      <c r="FG6" s="78">
        <f>IFERROR((VLOOKUP(EZ6,Scoring!$A:$B,2,0))+IF(FC6="y",1,0)+IF(FD6="y",1,0)+IF(FE6="y",1,0)+IF(FF6="y",1,0),0)</f>
        <v>0</v>
      </c>
      <c r="FH6" s="13">
        <v>0.0</v>
      </c>
    </row>
    <row r="7">
      <c r="A7" s="14" t="s">
        <v>367</v>
      </c>
      <c r="B7" s="1" t="s">
        <v>268</v>
      </c>
      <c r="C7" s="15" t="s">
        <v>26</v>
      </c>
      <c r="D7" s="24">
        <v>1.0</v>
      </c>
      <c r="E7" s="25">
        <v>5.0</v>
      </c>
      <c r="F7" s="25"/>
      <c r="G7" s="26" t="s">
        <v>129</v>
      </c>
      <c r="H7" s="27" t="s">
        <v>129</v>
      </c>
      <c r="I7" s="28" t="s">
        <v>129</v>
      </c>
      <c r="J7" s="29" t="s">
        <v>129</v>
      </c>
      <c r="K7" s="95">
        <f>IFERROR((VLOOKUP(D7,Scoring!$A:$B,2,0))+IF(G7="y",1,0)+IF(H7="y",1,0)+IF(I7="y",1,0)+IF(J7="y",1,0),0)</f>
        <v>25</v>
      </c>
      <c r="L7" s="24">
        <v>1.0</v>
      </c>
      <c r="M7" s="25">
        <v>1.0</v>
      </c>
      <c r="N7" s="25"/>
      <c r="O7" s="26" t="s">
        <v>129</v>
      </c>
      <c r="P7" s="27" t="s">
        <v>129</v>
      </c>
      <c r="Q7" s="28" t="s">
        <v>129</v>
      </c>
      <c r="R7" s="29" t="s">
        <v>129</v>
      </c>
      <c r="S7" s="95">
        <f>IFERROR((VLOOKUP(L7,Scoring!$A:$B,2,0))+IF(O7="y",1,0)+IF(P7="y",1,0)+IF(Q7="y",1,0)+IF(R7="y",1,0),0)</f>
        <v>25</v>
      </c>
      <c r="T7" s="96">
        <v>3.0</v>
      </c>
      <c r="U7" s="97">
        <v>1.0</v>
      </c>
      <c r="V7" s="98"/>
      <c r="W7" s="99" t="s">
        <v>129</v>
      </c>
      <c r="X7" s="100" t="s">
        <v>129</v>
      </c>
      <c r="Y7" s="101" t="s">
        <v>129</v>
      </c>
      <c r="Z7" s="102" t="s">
        <v>129</v>
      </c>
      <c r="AA7" s="85">
        <f>IFERROR((VLOOKUP(T7,Scoring!$D:$E,2,0))+IF(W7="y",1,0)+IF(X7="y",1,0)+IF(Y7="y",1,0)+IF(Z7="y",1,0),0)</f>
        <v>6</v>
      </c>
      <c r="AB7" s="24">
        <v>6.0</v>
      </c>
      <c r="AC7" s="25">
        <v>8.0</v>
      </c>
      <c r="AD7" s="25"/>
      <c r="AE7" s="26" t="s">
        <v>130</v>
      </c>
      <c r="AF7" s="27" t="s">
        <v>129</v>
      </c>
      <c r="AG7" s="28" t="s">
        <v>129</v>
      </c>
      <c r="AH7" s="29" t="s">
        <v>129</v>
      </c>
      <c r="AI7" s="95">
        <f>IFERROR((VLOOKUP(AB7,Scoring!$A:$B,2,0))+IF(AE7="y",1,0)+IF(AF7="y",1,0)+IF(AG7="y",1,0)+IF(AH7="y",1,0),0)</f>
        <v>9</v>
      </c>
      <c r="AJ7" s="24">
        <v>1.0</v>
      </c>
      <c r="AK7" s="25">
        <v>1.0</v>
      </c>
      <c r="AL7" s="25"/>
      <c r="AM7" s="26" t="s">
        <v>129</v>
      </c>
      <c r="AN7" s="27" t="s">
        <v>129</v>
      </c>
      <c r="AO7" s="28" t="s">
        <v>129</v>
      </c>
      <c r="AP7" s="29" t="s">
        <v>130</v>
      </c>
      <c r="AQ7" s="95">
        <f>IFERROR((VLOOKUP(AJ7,Scoring!$A:$B,2,0))+IF(AM7="y",1,0)+IF(AN7="y",1,0)+IF(AO7="y",1,0)+IF(AP7="y",1,0),0)</f>
        <v>26</v>
      </c>
      <c r="AR7" s="96">
        <v>23.0</v>
      </c>
      <c r="AS7" s="97">
        <v>5.0</v>
      </c>
      <c r="AT7" s="98"/>
      <c r="AU7" s="99" t="s">
        <v>129</v>
      </c>
      <c r="AV7" s="100" t="s">
        <v>129</v>
      </c>
      <c r="AW7" s="101" t="s">
        <v>129</v>
      </c>
      <c r="AX7" s="102" t="s">
        <v>129</v>
      </c>
      <c r="AY7" s="85">
        <f>IFERROR((VLOOKUP(AR7,Scoring!$D:$E,2,0))+IF(AU7="y",1,0)+IF(AV7="y",1,0)+IF(AW7="y",1,0)+IF(AX7="y",1,0),0)</f>
        <v>0</v>
      </c>
      <c r="AZ7" s="24">
        <v>8.0</v>
      </c>
      <c r="BA7" s="25">
        <v>10.0</v>
      </c>
      <c r="BB7" s="25"/>
      <c r="BC7" s="26" t="s">
        <v>130</v>
      </c>
      <c r="BD7" s="27" t="s">
        <v>129</v>
      </c>
      <c r="BE7" s="28" t="s">
        <v>129</v>
      </c>
      <c r="BF7" s="29" t="s">
        <v>129</v>
      </c>
      <c r="BG7" s="95">
        <f>IFERROR((VLOOKUP(AZ7,Scoring!$A:$B,2,0))+IF(BC7="y",1,0)+IF(BD7="y",1,0)+IF(BE7="y",1,0)+IF(BF7="y",1,0),0)</f>
        <v>5</v>
      </c>
      <c r="BH7" s="24"/>
      <c r="BI7" s="25"/>
      <c r="BJ7" s="25"/>
      <c r="BK7" s="26" t="s">
        <v>129</v>
      </c>
      <c r="BL7" s="27" t="s">
        <v>129</v>
      </c>
      <c r="BM7" s="28" t="s">
        <v>129</v>
      </c>
      <c r="BN7" s="29" t="s">
        <v>129</v>
      </c>
      <c r="BO7" s="95">
        <f>IFERROR((VLOOKUP(BH7,Scoring!$A:$B,2,0))+IF(BK7="y",1,0)+IF(BL7="y",1,0)+IF(BM7="y",1,0)+IF(BN7="y",1,0),0)</f>
        <v>0</v>
      </c>
      <c r="BP7" s="103"/>
      <c r="BQ7" s="98"/>
      <c r="BR7" s="98"/>
      <c r="BS7" s="99" t="s">
        <v>129</v>
      </c>
      <c r="BT7" s="100" t="s">
        <v>129</v>
      </c>
      <c r="BU7" s="101" t="s">
        <v>129</v>
      </c>
      <c r="BV7" s="102" t="s">
        <v>129</v>
      </c>
      <c r="BW7" s="85">
        <f>IFERROR((VLOOKUP(BP7,Scoring!$D:$E,2,0))+IF(BS7="y",1,0)+IF(BT7="y",1,0)+IF(BU7="y",1,0)+IF(BV7="y",1,0),0)</f>
        <v>0</v>
      </c>
      <c r="BX7" s="24"/>
      <c r="BY7" s="25"/>
      <c r="BZ7" s="25"/>
      <c r="CA7" s="26" t="s">
        <v>129</v>
      </c>
      <c r="CB7" s="27" t="s">
        <v>129</v>
      </c>
      <c r="CC7" s="28" t="s">
        <v>129</v>
      </c>
      <c r="CD7" s="29" t="s">
        <v>129</v>
      </c>
      <c r="CE7" s="95">
        <f>IFERROR((VLOOKUP(BX7,Scoring!$A:$B,2,0))+IF(CA7="y",1,0)+IF(CB7="y",1,0)+IF(CC7="y",1,0)+IF(CD7="y",1,0),0)</f>
        <v>0</v>
      </c>
      <c r="CF7" s="24"/>
      <c r="CG7" s="25"/>
      <c r="CH7" s="25"/>
      <c r="CI7" s="26" t="s">
        <v>129</v>
      </c>
      <c r="CJ7" s="27" t="s">
        <v>129</v>
      </c>
      <c r="CK7" s="28" t="s">
        <v>129</v>
      </c>
      <c r="CL7" s="29" t="s">
        <v>129</v>
      </c>
      <c r="CM7" s="95">
        <f>IFERROR((VLOOKUP(CF7,Scoring!$A:$B,2,0))+IF(CI7="y",1,0)+IF(CJ7="y",1,0)+IF(CK7="y",1,0)+IF(CL7="y",1,0),0)</f>
        <v>0</v>
      </c>
      <c r="CN7" s="24"/>
      <c r="CO7" s="25"/>
      <c r="CP7" s="25"/>
      <c r="CQ7" s="26" t="s">
        <v>129</v>
      </c>
      <c r="CR7" s="27" t="s">
        <v>129</v>
      </c>
      <c r="CS7" s="28" t="s">
        <v>129</v>
      </c>
      <c r="CT7" s="29" t="s">
        <v>129</v>
      </c>
      <c r="CU7" s="95">
        <f>IFERROR((VLOOKUP(CN7,Scoring!$A:$B,2,0))+IF(CQ7="y",1,0)+IF(CR7="y",1,0)+IF(CS7="y",1,0)+IF(CT7="y",1,0),0)</f>
        <v>0</v>
      </c>
      <c r="CV7" s="103"/>
      <c r="CW7" s="98"/>
      <c r="CX7" s="98"/>
      <c r="CY7" s="99" t="s">
        <v>129</v>
      </c>
      <c r="CZ7" s="100" t="s">
        <v>129</v>
      </c>
      <c r="DA7" s="101" t="s">
        <v>129</v>
      </c>
      <c r="DB7" s="102" t="s">
        <v>129</v>
      </c>
      <c r="DC7" s="85">
        <f>IFERROR((VLOOKUP(CV7,Scoring!$D:$E,2,0))+IF(CY7="y",1,0)+IF(CZ7="y",1,0)+IF(DA7="y",1,0)+IF(DB7="y",1,0),0)</f>
        <v>0</v>
      </c>
      <c r="DD7" s="24"/>
      <c r="DE7" s="25"/>
      <c r="DF7" s="25"/>
      <c r="DG7" s="26" t="s">
        <v>129</v>
      </c>
      <c r="DH7" s="27" t="s">
        <v>129</v>
      </c>
      <c r="DI7" s="28" t="s">
        <v>129</v>
      </c>
      <c r="DJ7" s="29" t="s">
        <v>129</v>
      </c>
      <c r="DK7" s="95">
        <f>IFERROR((VLOOKUP(DD7,Scoring!$A:$B,2,0))+IF(DG7="y",1,0)+IF(DH7="y",1,0)+IF(DI7="y",1,0)+IF(DJ7="y",1,0),0)</f>
        <v>0</v>
      </c>
      <c r="DL7" s="24"/>
      <c r="DM7" s="25"/>
      <c r="DN7" s="25"/>
      <c r="DO7" s="26" t="s">
        <v>129</v>
      </c>
      <c r="DP7" s="27" t="s">
        <v>129</v>
      </c>
      <c r="DQ7" s="28" t="s">
        <v>129</v>
      </c>
      <c r="DR7" s="29" t="s">
        <v>129</v>
      </c>
      <c r="DS7" s="95">
        <f>IFERROR((VLOOKUP(DL7,Scoring!$A:$B,2,0))+IF(DO7="y",1,0)+IF(DP7="y",1,0)+IF(DQ7="y",1,0)+IF(DR7="y",1,0),0)</f>
        <v>0</v>
      </c>
      <c r="DT7" s="103"/>
      <c r="DU7" s="98"/>
      <c r="DV7" s="98"/>
      <c r="DW7" s="99" t="s">
        <v>129</v>
      </c>
      <c r="DX7" s="100" t="s">
        <v>129</v>
      </c>
      <c r="DY7" s="101" t="s">
        <v>129</v>
      </c>
      <c r="DZ7" s="102" t="s">
        <v>129</v>
      </c>
      <c r="EA7" s="88">
        <f>IFERROR((VLOOKUP(DT7,Scoring!$D:$E,2,0))+IF(DW7="y",1,0)+IF(DX7="y",1,0)+IF(DY7="y",1,0)+IF(DZ7="y",1,0),0)</f>
        <v>0</v>
      </c>
      <c r="EB7" s="104"/>
      <c r="EC7" s="105"/>
      <c r="ED7" s="105"/>
      <c r="EE7" s="106" t="s">
        <v>129</v>
      </c>
      <c r="EF7" s="107" t="s">
        <v>129</v>
      </c>
      <c r="EG7" s="108" t="s">
        <v>129</v>
      </c>
      <c r="EH7" s="109" t="s">
        <v>129</v>
      </c>
      <c r="EI7" s="110">
        <f>IFERROR((VLOOKUP(EB7,Scoring!$A:$B,2,0))+IF(EE7="y",1,0)+IF(EF7="y",1,0)+IF(EG7="y",1,0)+IF(EH7="y",1,0),0)</f>
        <v>0</v>
      </c>
      <c r="EJ7" s="24"/>
      <c r="EK7" s="25"/>
      <c r="EL7" s="25"/>
      <c r="EM7" s="26" t="s">
        <v>129</v>
      </c>
      <c r="EN7" s="27" t="s">
        <v>129</v>
      </c>
      <c r="EO7" s="28" t="s">
        <v>129</v>
      </c>
      <c r="EP7" s="29" t="s">
        <v>129</v>
      </c>
      <c r="EQ7" s="95">
        <f>IFERROR((VLOOKUP(EJ7,Scoring!$A:$B,2,0))+IF(EM7="y",1,0)+IF(EN7="y",1,0)+IF(EO7="y",1,0)+IF(EP7="y",1,0),0)</f>
        <v>0</v>
      </c>
      <c r="ER7" s="104"/>
      <c r="ES7" s="105"/>
      <c r="ET7" s="105"/>
      <c r="EU7" s="106" t="s">
        <v>129</v>
      </c>
      <c r="EV7" s="107" t="s">
        <v>129</v>
      </c>
      <c r="EW7" s="108" t="s">
        <v>129</v>
      </c>
      <c r="EX7" s="109" t="s">
        <v>129</v>
      </c>
      <c r="EY7" s="88">
        <f>IFERROR((VLOOKUP(ER7,Scoring!$D:$E,2,0))+IF(EU7="y",1,0)+IF(EV7="y",1,0)+IF(EW7="y",1,0)+IF(EX7="y",1,0),0)</f>
        <v>0</v>
      </c>
      <c r="EZ7" s="24"/>
      <c r="FA7" s="25"/>
      <c r="FB7" s="25"/>
      <c r="FC7" s="26" t="s">
        <v>129</v>
      </c>
      <c r="FD7" s="27" t="s">
        <v>129</v>
      </c>
      <c r="FE7" s="28" t="s">
        <v>129</v>
      </c>
      <c r="FF7" s="29" t="s">
        <v>129</v>
      </c>
      <c r="FG7" s="95">
        <f>IFERROR((VLOOKUP(EZ7,Scoring!$A:$B,2,0))+IF(FC7="y",1,0)+IF(FD7="y",1,0)+IF(FE7="y",1,0)+IF(FF7="y",1,0),0)</f>
        <v>0</v>
      </c>
      <c r="FH7" s="13">
        <v>0.0</v>
      </c>
    </row>
    <row r="8">
      <c r="A8" s="33" t="s">
        <v>368</v>
      </c>
      <c r="B8" s="34" t="s">
        <v>28</v>
      </c>
      <c r="C8" s="35" t="s">
        <v>29</v>
      </c>
      <c r="D8" s="36">
        <v>12.0</v>
      </c>
      <c r="E8" s="37">
        <v>9.0</v>
      </c>
      <c r="F8" s="37"/>
      <c r="G8" s="38" t="s">
        <v>129</v>
      </c>
      <c r="H8" s="39" t="s">
        <v>129</v>
      </c>
      <c r="I8" s="40" t="s">
        <v>129</v>
      </c>
      <c r="J8" s="41" t="s">
        <v>129</v>
      </c>
      <c r="K8" s="78">
        <f>IFERROR((VLOOKUP(D8,Scoring!$A:$B,2,0))+IF(G8="y",1,0)+IF(H8="y",1,0)+IF(I8="y",1,0)+IF(J8="y",1,0),0)</f>
        <v>1</v>
      </c>
      <c r="L8" s="36">
        <v>10.0</v>
      </c>
      <c r="M8" s="37">
        <v>11.0</v>
      </c>
      <c r="N8" s="37"/>
      <c r="O8" s="38" t="s">
        <v>129</v>
      </c>
      <c r="P8" s="39" t="s">
        <v>129</v>
      </c>
      <c r="Q8" s="40" t="s">
        <v>129</v>
      </c>
      <c r="R8" s="41" t="s">
        <v>129</v>
      </c>
      <c r="S8" s="78">
        <f>IFERROR((VLOOKUP(L8,Scoring!$A:$B,2,0))+IF(O8="y",1,0)+IF(P8="y",1,0)+IF(Q8="y",1,0)+IF(R8="y",1,0),0)</f>
        <v>2</v>
      </c>
      <c r="T8" s="111">
        <v>10.0</v>
      </c>
      <c r="U8" s="112">
        <v>10.0</v>
      </c>
      <c r="V8" s="113"/>
      <c r="W8" s="114" t="s">
        <v>129</v>
      </c>
      <c r="X8" s="115" t="s">
        <v>129</v>
      </c>
      <c r="Y8" s="116" t="s">
        <v>129</v>
      </c>
      <c r="Z8" s="117" t="s">
        <v>129</v>
      </c>
      <c r="AA8" s="85">
        <f>IFERROR((VLOOKUP(T8,Scoring!$D:$E,2,0))+IF(W8="y",1,0)+IF(X8="y",1,0)+IF(Y8="y",1,0)+IF(Z8="y",1,0),0)</f>
        <v>0.5</v>
      </c>
      <c r="AB8" s="36">
        <v>8.0</v>
      </c>
      <c r="AC8" s="37">
        <v>1.0</v>
      </c>
      <c r="AD8" s="37"/>
      <c r="AE8" s="38" t="s">
        <v>129</v>
      </c>
      <c r="AF8" s="39" t="s">
        <v>129</v>
      </c>
      <c r="AG8" s="40" t="s">
        <v>129</v>
      </c>
      <c r="AH8" s="41" t="s">
        <v>129</v>
      </c>
      <c r="AI8" s="78">
        <f>IFERROR((VLOOKUP(AB8,Scoring!$A:$B,2,0))+IF(AE8="y",1,0)+IF(AF8="y",1,0)+IF(AG8="y",1,0)+IF(AH8="y",1,0),0)</f>
        <v>4</v>
      </c>
      <c r="AJ8" s="36">
        <v>24.0</v>
      </c>
      <c r="AK8" s="37">
        <v>24.0</v>
      </c>
      <c r="AL8" s="37"/>
      <c r="AM8" s="38" t="s">
        <v>129</v>
      </c>
      <c r="AN8" s="39" t="s">
        <v>129</v>
      </c>
      <c r="AO8" s="40" t="s">
        <v>129</v>
      </c>
      <c r="AP8" s="41" t="s">
        <v>129</v>
      </c>
      <c r="AQ8" s="78">
        <f>IFERROR((VLOOKUP(AJ8,Scoring!$A:$B,2,0))+IF(AM8="y",1,0)+IF(AN8="y",1,0)+IF(AO8="y",1,0)+IF(AP8="y",1,0),0)</f>
        <v>0</v>
      </c>
      <c r="AR8" s="111">
        <v>8.0</v>
      </c>
      <c r="AS8" s="112">
        <v>8.0</v>
      </c>
      <c r="AT8" s="113"/>
      <c r="AU8" s="114" t="s">
        <v>129</v>
      </c>
      <c r="AV8" s="115" t="s">
        <v>129</v>
      </c>
      <c r="AW8" s="116" t="s">
        <v>129</v>
      </c>
      <c r="AX8" s="117" t="s">
        <v>129</v>
      </c>
      <c r="AY8" s="85">
        <f>IFERROR((VLOOKUP(AR8,Scoring!$D:$E,2,0))+IF(AU8="y",1,0)+IF(AV8="y",1,0)+IF(AW8="y",1,0)+IF(AX8="y",1,0),0)</f>
        <v>1</v>
      </c>
      <c r="AZ8" s="36">
        <v>9.0</v>
      </c>
      <c r="BA8" s="37">
        <v>2.0</v>
      </c>
      <c r="BB8" s="37"/>
      <c r="BC8" s="38" t="s">
        <v>129</v>
      </c>
      <c r="BD8" s="39" t="s">
        <v>129</v>
      </c>
      <c r="BE8" s="40" t="s">
        <v>129</v>
      </c>
      <c r="BF8" s="41" t="s">
        <v>129</v>
      </c>
      <c r="BG8" s="78">
        <f>IFERROR((VLOOKUP(AZ8,Scoring!$A:$B,2,0))+IF(BC8="y",1,0)+IF(BD8="y",1,0)+IF(BE8="y",1,0)+IF(BF8="y",1,0),0)</f>
        <v>3</v>
      </c>
      <c r="BH8" s="36"/>
      <c r="BI8" s="37"/>
      <c r="BJ8" s="37"/>
      <c r="BK8" s="38" t="s">
        <v>129</v>
      </c>
      <c r="BL8" s="39" t="s">
        <v>129</v>
      </c>
      <c r="BM8" s="40" t="s">
        <v>129</v>
      </c>
      <c r="BN8" s="41" t="s">
        <v>129</v>
      </c>
      <c r="BO8" s="78">
        <f>IFERROR((VLOOKUP(BH8,Scoring!$A:$B,2,0))+IF(BK8="y",1,0)+IF(BL8="y",1,0)+IF(BM8="y",1,0)+IF(BN8="y",1,0),0)</f>
        <v>0</v>
      </c>
      <c r="BP8" s="118"/>
      <c r="BQ8" s="113"/>
      <c r="BR8" s="113"/>
      <c r="BS8" s="114" t="s">
        <v>129</v>
      </c>
      <c r="BT8" s="115" t="s">
        <v>129</v>
      </c>
      <c r="BU8" s="116" t="s">
        <v>129</v>
      </c>
      <c r="BV8" s="117" t="s">
        <v>129</v>
      </c>
      <c r="BW8" s="85">
        <f>IFERROR((VLOOKUP(BP8,Scoring!$D:$E,2,0))+IF(BS8="y",1,0)+IF(BT8="y",1,0)+IF(BU8="y",1,0)+IF(BV8="y",1,0),0)</f>
        <v>0</v>
      </c>
      <c r="BX8" s="36"/>
      <c r="BY8" s="37"/>
      <c r="BZ8" s="37"/>
      <c r="CA8" s="38" t="s">
        <v>129</v>
      </c>
      <c r="CB8" s="39" t="s">
        <v>129</v>
      </c>
      <c r="CC8" s="40" t="s">
        <v>129</v>
      </c>
      <c r="CD8" s="41" t="s">
        <v>129</v>
      </c>
      <c r="CE8" s="78">
        <f>IFERROR((VLOOKUP(BX8,Scoring!$A:$B,2,0))+IF(CA8="y",1,0)+IF(CB8="y",1,0)+IF(CC8="y",1,0)+IF(CD8="y",1,0),0)</f>
        <v>0</v>
      </c>
      <c r="CF8" s="36"/>
      <c r="CG8" s="37"/>
      <c r="CH8" s="37"/>
      <c r="CI8" s="38" t="s">
        <v>129</v>
      </c>
      <c r="CJ8" s="39" t="s">
        <v>129</v>
      </c>
      <c r="CK8" s="40" t="s">
        <v>129</v>
      </c>
      <c r="CL8" s="41" t="s">
        <v>129</v>
      </c>
      <c r="CM8" s="78">
        <f>IFERROR((VLOOKUP(CF8,Scoring!$A:$B,2,0))+IF(CI8="y",1,0)+IF(CJ8="y",1,0)+IF(CK8="y",1,0)+IF(CL8="y",1,0),0)</f>
        <v>0</v>
      </c>
      <c r="CN8" s="36"/>
      <c r="CO8" s="37"/>
      <c r="CP8" s="37"/>
      <c r="CQ8" s="38" t="s">
        <v>129</v>
      </c>
      <c r="CR8" s="39" t="s">
        <v>129</v>
      </c>
      <c r="CS8" s="40" t="s">
        <v>129</v>
      </c>
      <c r="CT8" s="41" t="s">
        <v>129</v>
      </c>
      <c r="CU8" s="78">
        <f>IFERROR((VLOOKUP(CN8,Scoring!$A:$B,2,0))+IF(CQ8="y",1,0)+IF(CR8="y",1,0)+IF(CS8="y",1,0)+IF(CT8="y",1,0),0)</f>
        <v>0</v>
      </c>
      <c r="CV8" s="118"/>
      <c r="CW8" s="113"/>
      <c r="CX8" s="113"/>
      <c r="CY8" s="114" t="s">
        <v>129</v>
      </c>
      <c r="CZ8" s="115" t="s">
        <v>129</v>
      </c>
      <c r="DA8" s="116" t="s">
        <v>129</v>
      </c>
      <c r="DB8" s="117" t="s">
        <v>129</v>
      </c>
      <c r="DC8" s="85">
        <f>IFERROR((VLOOKUP(CV8,Scoring!$D:$E,2,0))+IF(CY8="y",1,0)+IF(CZ8="y",1,0)+IF(DA8="y",1,0)+IF(DB8="y",1,0),0)</f>
        <v>0</v>
      </c>
      <c r="DD8" s="36"/>
      <c r="DE8" s="37"/>
      <c r="DF8" s="37"/>
      <c r="DG8" s="38" t="s">
        <v>129</v>
      </c>
      <c r="DH8" s="39" t="s">
        <v>129</v>
      </c>
      <c r="DI8" s="40" t="s">
        <v>129</v>
      </c>
      <c r="DJ8" s="41" t="s">
        <v>129</v>
      </c>
      <c r="DK8" s="78">
        <f>IFERROR((VLOOKUP(DD8,Scoring!$A:$B,2,0))+IF(DG8="y",1,0)+IF(DH8="y",1,0)+IF(DI8="y",1,0)+IF(DJ8="y",1,0),0)</f>
        <v>0</v>
      </c>
      <c r="DL8" s="36"/>
      <c r="DM8" s="37"/>
      <c r="DN8" s="37"/>
      <c r="DO8" s="38" t="s">
        <v>129</v>
      </c>
      <c r="DP8" s="39" t="s">
        <v>129</v>
      </c>
      <c r="DQ8" s="40" t="s">
        <v>129</v>
      </c>
      <c r="DR8" s="41" t="s">
        <v>129</v>
      </c>
      <c r="DS8" s="78">
        <f>IFERROR((VLOOKUP(DL8,Scoring!$A:$B,2,0))+IF(DO8="y",1,0)+IF(DP8="y",1,0)+IF(DQ8="y",1,0)+IF(DR8="y",1,0),0)</f>
        <v>0</v>
      </c>
      <c r="DT8" s="118"/>
      <c r="DU8" s="113"/>
      <c r="DV8" s="113"/>
      <c r="DW8" s="114" t="s">
        <v>129</v>
      </c>
      <c r="DX8" s="115" t="s">
        <v>129</v>
      </c>
      <c r="DY8" s="116" t="s">
        <v>129</v>
      </c>
      <c r="DZ8" s="117" t="s">
        <v>129</v>
      </c>
      <c r="EA8" s="88">
        <f>IFERROR((VLOOKUP(DT8,Scoring!$D:$E,2,0))+IF(DW8="y",1,0)+IF(DX8="y",1,0)+IF(DY8="y",1,0)+IF(DZ8="y",1,0),0)</f>
        <v>0</v>
      </c>
      <c r="EB8" s="119"/>
      <c r="EC8" s="120"/>
      <c r="ED8" s="120"/>
      <c r="EE8" s="121" t="s">
        <v>129</v>
      </c>
      <c r="EF8" s="122" t="s">
        <v>129</v>
      </c>
      <c r="EG8" s="123" t="s">
        <v>129</v>
      </c>
      <c r="EH8" s="124" t="s">
        <v>129</v>
      </c>
      <c r="EI8" s="88">
        <f>IFERROR((VLOOKUP(EB8,Scoring!$A:$B,2,0))+IF(EE8="y",1,0)+IF(EF8="y",1,0)+IF(EG8="y",1,0)+IF(EH8="y",1,0),0)</f>
        <v>0</v>
      </c>
      <c r="EJ8" s="36"/>
      <c r="EK8" s="37"/>
      <c r="EL8" s="37"/>
      <c r="EM8" s="38" t="s">
        <v>129</v>
      </c>
      <c r="EN8" s="39" t="s">
        <v>129</v>
      </c>
      <c r="EO8" s="40" t="s">
        <v>129</v>
      </c>
      <c r="EP8" s="41" t="s">
        <v>129</v>
      </c>
      <c r="EQ8" s="78">
        <f>IFERROR((VLOOKUP(EJ8,Scoring!$A:$B,2,0))+IF(EM8="y",1,0)+IF(EN8="y",1,0)+IF(EO8="y",1,0)+IF(EP8="y",1,0),0)</f>
        <v>0</v>
      </c>
      <c r="ER8" s="119"/>
      <c r="ES8" s="120"/>
      <c r="ET8" s="120"/>
      <c r="EU8" s="121" t="s">
        <v>129</v>
      </c>
      <c r="EV8" s="122" t="s">
        <v>129</v>
      </c>
      <c r="EW8" s="123" t="s">
        <v>129</v>
      </c>
      <c r="EX8" s="124" t="s">
        <v>129</v>
      </c>
      <c r="EY8" s="88">
        <f>IFERROR((VLOOKUP(ER8,Scoring!$D:$E,2,0))+IF(EU8="y",1,0)+IF(EV8="y",1,0)+IF(EW8="y",1,0)+IF(EX8="y",1,0),0)</f>
        <v>0</v>
      </c>
      <c r="EZ8" s="36"/>
      <c r="FA8" s="37"/>
      <c r="FB8" s="37"/>
      <c r="FC8" s="38" t="s">
        <v>129</v>
      </c>
      <c r="FD8" s="39" t="s">
        <v>129</v>
      </c>
      <c r="FE8" s="40" t="s">
        <v>129</v>
      </c>
      <c r="FF8" s="41" t="s">
        <v>129</v>
      </c>
      <c r="FG8" s="78">
        <f>IFERROR((VLOOKUP(EZ8,Scoring!$A:$B,2,0))+IF(FC8="y",1,0)+IF(FD8="y",1,0)+IF(FE8="y",1,0)+IF(FF8="y",1,0),0)</f>
        <v>0</v>
      </c>
      <c r="FH8" s="13">
        <v>0.0</v>
      </c>
    </row>
    <row r="9">
      <c r="A9" s="45" t="s">
        <v>368</v>
      </c>
      <c r="B9" s="46" t="s">
        <v>30</v>
      </c>
      <c r="C9" s="47" t="s">
        <v>31</v>
      </c>
      <c r="D9" s="48">
        <v>8.0</v>
      </c>
      <c r="E9" s="49">
        <v>8.0</v>
      </c>
      <c r="F9" s="49"/>
      <c r="G9" s="50" t="s">
        <v>129</v>
      </c>
      <c r="H9" s="51" t="s">
        <v>129</v>
      </c>
      <c r="I9" s="52" t="s">
        <v>129</v>
      </c>
      <c r="J9" s="53" t="s">
        <v>129</v>
      </c>
      <c r="K9" s="95">
        <f>IFERROR((VLOOKUP(D9,Scoring!$A:$B,2,0))+IF(G9="y",1,0)+IF(H9="y",1,0)+IF(I9="y",1,0)+IF(J9="y",1,0),0)</f>
        <v>4</v>
      </c>
      <c r="L9" s="48">
        <v>7.0</v>
      </c>
      <c r="M9" s="49">
        <v>8.0</v>
      </c>
      <c r="N9" s="49"/>
      <c r="O9" s="50" t="s">
        <v>129</v>
      </c>
      <c r="P9" s="51" t="s">
        <v>129</v>
      </c>
      <c r="Q9" s="52" t="s">
        <v>129</v>
      </c>
      <c r="R9" s="53" t="s">
        <v>129</v>
      </c>
      <c r="S9" s="95">
        <f>IFERROR((VLOOKUP(L9,Scoring!$A:$B,2,0))+IF(O9="y",1,0)+IF(P9="y",1,0)+IF(Q9="y",1,0)+IF(R9="y",1,0),0)</f>
        <v>6</v>
      </c>
      <c r="T9" s="125">
        <v>9.0</v>
      </c>
      <c r="U9" s="126">
        <v>6.0</v>
      </c>
      <c r="V9" s="127"/>
      <c r="W9" s="128" t="s">
        <v>129</v>
      </c>
      <c r="X9" s="129" t="s">
        <v>129</v>
      </c>
      <c r="Y9" s="130" t="s">
        <v>129</v>
      </c>
      <c r="Z9" s="131" t="s">
        <v>129</v>
      </c>
      <c r="AA9" s="85">
        <f>IFERROR((VLOOKUP(T9,Scoring!$D:$E,2,0))+IF(W9="y",1,0)+IF(X9="y",1,0)+IF(Y9="y",1,0)+IF(Z9="y",1,0),0)</f>
        <v>0.5</v>
      </c>
      <c r="AB9" s="48">
        <v>23.0</v>
      </c>
      <c r="AC9" s="49">
        <v>2.0</v>
      </c>
      <c r="AD9" s="49"/>
      <c r="AE9" s="50" t="s">
        <v>129</v>
      </c>
      <c r="AF9" s="51" t="s">
        <v>129</v>
      </c>
      <c r="AG9" s="52" t="s">
        <v>129</v>
      </c>
      <c r="AH9" s="53" t="s">
        <v>129</v>
      </c>
      <c r="AI9" s="95">
        <f>IFERROR((VLOOKUP(AB9,Scoring!$A:$B,2,0))+IF(AE9="y",1,0)+IF(AF9="y",1,0)+IF(AG9="y",1,0)+IF(AH9="y",1,0),0)</f>
        <v>0</v>
      </c>
      <c r="AJ9" s="48">
        <v>10.0</v>
      </c>
      <c r="AK9" s="49">
        <v>7.0</v>
      </c>
      <c r="AL9" s="49"/>
      <c r="AM9" s="50" t="s">
        <v>129</v>
      </c>
      <c r="AN9" s="51" t="s">
        <v>129</v>
      </c>
      <c r="AO9" s="52" t="s">
        <v>129</v>
      </c>
      <c r="AP9" s="53" t="s">
        <v>129</v>
      </c>
      <c r="AQ9" s="95">
        <f>IFERROR((VLOOKUP(AJ9,Scoring!$A:$B,2,0))+IF(AM9="y",1,0)+IF(AN9="y",1,0)+IF(AO9="y",1,0)+IF(AP9="y",1,0),0)</f>
        <v>2</v>
      </c>
      <c r="AR9" s="125">
        <v>7.0</v>
      </c>
      <c r="AS9" s="126">
        <v>9.0</v>
      </c>
      <c r="AT9" s="127"/>
      <c r="AU9" s="128" t="s">
        <v>129</v>
      </c>
      <c r="AV9" s="129" t="s">
        <v>129</v>
      </c>
      <c r="AW9" s="130" t="s">
        <v>129</v>
      </c>
      <c r="AX9" s="131" t="s">
        <v>129</v>
      </c>
      <c r="AY9" s="85">
        <f>IFERROR((VLOOKUP(AR9,Scoring!$D:$E,2,0))+IF(AU9="y",1,0)+IF(AV9="y",1,0)+IF(AW9="y",1,0)+IF(AX9="y",1,0),0)</f>
        <v>2</v>
      </c>
      <c r="AZ9" s="48">
        <v>3.0</v>
      </c>
      <c r="BA9" s="49">
        <v>3.0</v>
      </c>
      <c r="BB9" s="49"/>
      <c r="BC9" s="50" t="s">
        <v>129</v>
      </c>
      <c r="BD9" s="51" t="s">
        <v>129</v>
      </c>
      <c r="BE9" s="52" t="s">
        <v>129</v>
      </c>
      <c r="BF9" s="53" t="s">
        <v>129</v>
      </c>
      <c r="BG9" s="95">
        <f>IFERROR((VLOOKUP(AZ9,Scoring!$A:$B,2,0))+IF(BC9="y",1,0)+IF(BD9="y",1,0)+IF(BE9="y",1,0)+IF(BF9="y",1,0),0)</f>
        <v>15</v>
      </c>
      <c r="BH9" s="48"/>
      <c r="BI9" s="49"/>
      <c r="BJ9" s="49"/>
      <c r="BK9" s="50" t="s">
        <v>129</v>
      </c>
      <c r="BL9" s="51" t="s">
        <v>129</v>
      </c>
      <c r="BM9" s="52" t="s">
        <v>129</v>
      </c>
      <c r="BN9" s="53" t="s">
        <v>129</v>
      </c>
      <c r="BO9" s="95">
        <f>IFERROR((VLOOKUP(BH9,Scoring!$A:$B,2,0))+IF(BK9="y",1,0)+IF(BL9="y",1,0)+IF(BM9="y",1,0)+IF(BN9="y",1,0),0)</f>
        <v>0</v>
      </c>
      <c r="BP9" s="132"/>
      <c r="BQ9" s="127"/>
      <c r="BR9" s="127"/>
      <c r="BS9" s="128" t="s">
        <v>129</v>
      </c>
      <c r="BT9" s="129" t="s">
        <v>129</v>
      </c>
      <c r="BU9" s="130" t="s">
        <v>129</v>
      </c>
      <c r="BV9" s="131" t="s">
        <v>129</v>
      </c>
      <c r="BW9" s="85">
        <f>IFERROR((VLOOKUP(BP9,Scoring!$D:$E,2,0))+IF(BS9="y",1,0)+IF(BT9="y",1,0)+IF(BU9="y",1,0)+IF(BV9="y",1,0),0)</f>
        <v>0</v>
      </c>
      <c r="BX9" s="48"/>
      <c r="BY9" s="49"/>
      <c r="BZ9" s="49"/>
      <c r="CA9" s="50" t="s">
        <v>129</v>
      </c>
      <c r="CB9" s="51" t="s">
        <v>129</v>
      </c>
      <c r="CC9" s="52" t="s">
        <v>129</v>
      </c>
      <c r="CD9" s="53" t="s">
        <v>129</v>
      </c>
      <c r="CE9" s="95">
        <f>IFERROR((VLOOKUP(BX9,Scoring!$A:$B,2,0))+IF(CA9="y",1,0)+IF(CB9="y",1,0)+IF(CC9="y",1,0)+IF(CD9="y",1,0),0)</f>
        <v>0</v>
      </c>
      <c r="CF9" s="48"/>
      <c r="CG9" s="49"/>
      <c r="CH9" s="49"/>
      <c r="CI9" s="50" t="s">
        <v>129</v>
      </c>
      <c r="CJ9" s="51" t="s">
        <v>129</v>
      </c>
      <c r="CK9" s="52" t="s">
        <v>129</v>
      </c>
      <c r="CL9" s="53" t="s">
        <v>129</v>
      </c>
      <c r="CM9" s="95">
        <f>IFERROR((VLOOKUP(CF9,Scoring!$A:$B,2,0))+IF(CI9="y",1,0)+IF(CJ9="y",1,0)+IF(CK9="y",1,0)+IF(CL9="y",1,0),0)</f>
        <v>0</v>
      </c>
      <c r="CN9" s="48"/>
      <c r="CO9" s="49"/>
      <c r="CP9" s="49"/>
      <c r="CQ9" s="50" t="s">
        <v>129</v>
      </c>
      <c r="CR9" s="51" t="s">
        <v>129</v>
      </c>
      <c r="CS9" s="52" t="s">
        <v>129</v>
      </c>
      <c r="CT9" s="53" t="s">
        <v>129</v>
      </c>
      <c r="CU9" s="95">
        <f>IFERROR((VLOOKUP(CN9,Scoring!$A:$B,2,0))+IF(CQ9="y",1,0)+IF(CR9="y",1,0)+IF(CS9="y",1,0)+IF(CT9="y",1,0),0)</f>
        <v>0</v>
      </c>
      <c r="CV9" s="132"/>
      <c r="CW9" s="127"/>
      <c r="CX9" s="127"/>
      <c r="CY9" s="128" t="s">
        <v>129</v>
      </c>
      <c r="CZ9" s="129" t="s">
        <v>129</v>
      </c>
      <c r="DA9" s="130" t="s">
        <v>129</v>
      </c>
      <c r="DB9" s="131" t="s">
        <v>129</v>
      </c>
      <c r="DC9" s="85">
        <f>IFERROR((VLOOKUP(CV9,Scoring!$D:$E,2,0))+IF(CY9="y",1,0)+IF(CZ9="y",1,0)+IF(DA9="y",1,0)+IF(DB9="y",1,0),0)</f>
        <v>0</v>
      </c>
      <c r="DD9" s="48"/>
      <c r="DE9" s="49"/>
      <c r="DF9" s="49"/>
      <c r="DG9" s="50" t="s">
        <v>129</v>
      </c>
      <c r="DH9" s="51" t="s">
        <v>129</v>
      </c>
      <c r="DI9" s="52" t="s">
        <v>129</v>
      </c>
      <c r="DJ9" s="53" t="s">
        <v>129</v>
      </c>
      <c r="DK9" s="95">
        <f>IFERROR((VLOOKUP(DD9,Scoring!$A:$B,2,0))+IF(DG9="y",1,0)+IF(DH9="y",1,0)+IF(DI9="y",1,0)+IF(DJ9="y",1,0),0)</f>
        <v>0</v>
      </c>
      <c r="DL9" s="48"/>
      <c r="DM9" s="49"/>
      <c r="DN9" s="49"/>
      <c r="DO9" s="50" t="s">
        <v>129</v>
      </c>
      <c r="DP9" s="51" t="s">
        <v>129</v>
      </c>
      <c r="DQ9" s="52" t="s">
        <v>129</v>
      </c>
      <c r="DR9" s="53" t="s">
        <v>129</v>
      </c>
      <c r="DS9" s="95">
        <f>IFERROR((VLOOKUP(DL9,Scoring!$A:$B,2,0))+IF(DO9="y",1,0)+IF(DP9="y",1,0)+IF(DQ9="y",1,0)+IF(DR9="y",1,0),0)</f>
        <v>0</v>
      </c>
      <c r="DT9" s="132"/>
      <c r="DU9" s="127"/>
      <c r="DV9" s="127"/>
      <c r="DW9" s="128" t="s">
        <v>129</v>
      </c>
      <c r="DX9" s="129" t="s">
        <v>129</v>
      </c>
      <c r="DY9" s="130" t="s">
        <v>129</v>
      </c>
      <c r="DZ9" s="131" t="s">
        <v>129</v>
      </c>
      <c r="EA9" s="88">
        <f>IFERROR((VLOOKUP(DT9,Scoring!$D:$E,2,0))+IF(DW9="y",1,0)+IF(DX9="y",1,0)+IF(DY9="y",1,0)+IF(DZ9="y",1,0),0)</f>
        <v>0</v>
      </c>
      <c r="EB9" s="133"/>
      <c r="EC9" s="134"/>
      <c r="ED9" s="134"/>
      <c r="EE9" s="135" t="s">
        <v>129</v>
      </c>
      <c r="EF9" s="136" t="s">
        <v>129</v>
      </c>
      <c r="EG9" s="137" t="s">
        <v>129</v>
      </c>
      <c r="EH9" s="138" t="s">
        <v>129</v>
      </c>
      <c r="EI9" s="110">
        <f>IFERROR((VLOOKUP(EB9,Scoring!$A:$B,2,0))+IF(EE9="y",1,0)+IF(EF9="y",1,0)+IF(EG9="y",1,0)+IF(EH9="y",1,0),0)</f>
        <v>0</v>
      </c>
      <c r="EJ9" s="48"/>
      <c r="EK9" s="49"/>
      <c r="EL9" s="49"/>
      <c r="EM9" s="50" t="s">
        <v>129</v>
      </c>
      <c r="EN9" s="51" t="s">
        <v>129</v>
      </c>
      <c r="EO9" s="52" t="s">
        <v>129</v>
      </c>
      <c r="EP9" s="53" t="s">
        <v>129</v>
      </c>
      <c r="EQ9" s="95">
        <f>IFERROR((VLOOKUP(EJ9,Scoring!$A:$B,2,0))+IF(EM9="y",1,0)+IF(EN9="y",1,0)+IF(EO9="y",1,0)+IF(EP9="y",1,0),0)</f>
        <v>0</v>
      </c>
      <c r="ER9" s="133"/>
      <c r="ES9" s="134"/>
      <c r="ET9" s="134"/>
      <c r="EU9" s="135" t="s">
        <v>129</v>
      </c>
      <c r="EV9" s="136" t="s">
        <v>129</v>
      </c>
      <c r="EW9" s="137" t="s">
        <v>129</v>
      </c>
      <c r="EX9" s="138" t="s">
        <v>129</v>
      </c>
      <c r="EY9" s="88">
        <f>IFERROR((VLOOKUP(ER9,Scoring!$D:$E,2,0))+IF(EU9="y",1,0)+IF(EV9="y",1,0)+IF(EW9="y",1,0)+IF(EX9="y",1,0),0)</f>
        <v>0</v>
      </c>
      <c r="EZ9" s="48"/>
      <c r="FA9" s="49"/>
      <c r="FB9" s="49"/>
      <c r="FC9" s="50" t="s">
        <v>129</v>
      </c>
      <c r="FD9" s="51" t="s">
        <v>129</v>
      </c>
      <c r="FE9" s="52" t="s">
        <v>129</v>
      </c>
      <c r="FF9" s="53" t="s">
        <v>129</v>
      </c>
      <c r="FG9" s="95">
        <f>IFERROR((VLOOKUP(EZ9,Scoring!$A:$B,2,0))+IF(FC9="y",1,0)+IF(FD9="y",1,0)+IF(FE9="y",1,0)+IF(FF9="y",1,0),0)</f>
        <v>0</v>
      </c>
      <c r="FH9" s="13">
        <v>0.0</v>
      </c>
    </row>
    <row r="10">
      <c r="A10" s="14" t="s">
        <v>369</v>
      </c>
      <c r="B10" s="1" t="s">
        <v>370</v>
      </c>
      <c r="C10" s="15" t="s">
        <v>371</v>
      </c>
      <c r="D10" s="24">
        <v>15.0</v>
      </c>
      <c r="E10" s="25">
        <v>13.0</v>
      </c>
      <c r="F10" s="25"/>
      <c r="G10" s="26" t="s">
        <v>129</v>
      </c>
      <c r="H10" s="27" t="s">
        <v>129</v>
      </c>
      <c r="I10" s="28" t="s">
        <v>129</v>
      </c>
      <c r="J10" s="29" t="s">
        <v>129</v>
      </c>
      <c r="K10" s="78">
        <f>IFERROR((VLOOKUP(D10,Scoring!$A:$B,2,0))+IF(G10="y",1,0)+IF(H10="y",1,0)+IF(I10="y",1,0)+IF(J10="y",1,0),0)</f>
        <v>1</v>
      </c>
      <c r="L10" s="24">
        <v>24.0</v>
      </c>
      <c r="M10" s="25">
        <v>24.0</v>
      </c>
      <c r="N10" s="25"/>
      <c r="O10" s="26" t="s">
        <v>129</v>
      </c>
      <c r="P10" s="27" t="s">
        <v>129</v>
      </c>
      <c r="Q10" s="28" t="s">
        <v>129</v>
      </c>
      <c r="R10" s="29" t="s">
        <v>129</v>
      </c>
      <c r="S10" s="78">
        <f>IFERROR((VLOOKUP(L10,Scoring!$A:$B,2,0))+IF(O10="y",1,0)+IF(P10="y",1,0)+IF(Q10="y",1,0)+IF(R10="y",1,0),0)</f>
        <v>0</v>
      </c>
      <c r="T10" s="96">
        <v>24.0</v>
      </c>
      <c r="U10" s="97">
        <v>24.0</v>
      </c>
      <c r="V10" s="98"/>
      <c r="W10" s="99" t="s">
        <v>129</v>
      </c>
      <c r="X10" s="100" t="s">
        <v>129</v>
      </c>
      <c r="Y10" s="101" t="s">
        <v>129</v>
      </c>
      <c r="Z10" s="102" t="s">
        <v>129</v>
      </c>
      <c r="AA10" s="85">
        <f>IFERROR((VLOOKUP(T10,Scoring!$D:$E,2,0))+IF(W10="y",1,0)+IF(X10="y",1,0)+IF(Y10="y",1,0)+IF(Z10="y",1,0),0)</f>
        <v>0</v>
      </c>
      <c r="AB10" s="24">
        <v>24.0</v>
      </c>
      <c r="AC10" s="25">
        <v>24.0</v>
      </c>
      <c r="AD10" s="25"/>
      <c r="AE10" s="26" t="s">
        <v>129</v>
      </c>
      <c r="AF10" s="27" t="s">
        <v>129</v>
      </c>
      <c r="AG10" s="28" t="s">
        <v>129</v>
      </c>
      <c r="AH10" s="29" t="s">
        <v>129</v>
      </c>
      <c r="AI10" s="78">
        <f>IFERROR((VLOOKUP(AB10,Scoring!$A:$B,2,0))+IF(AE10="y",1,0)+IF(AF10="y",1,0)+IF(AG10="y",1,0)+IF(AH10="y",1,0),0)</f>
        <v>0</v>
      </c>
      <c r="AJ10" s="24">
        <v>24.0</v>
      </c>
      <c r="AK10" s="25">
        <v>24.0</v>
      </c>
      <c r="AL10" s="25"/>
      <c r="AM10" s="26" t="s">
        <v>129</v>
      </c>
      <c r="AN10" s="27" t="s">
        <v>129</v>
      </c>
      <c r="AO10" s="28" t="s">
        <v>129</v>
      </c>
      <c r="AP10" s="29" t="s">
        <v>129</v>
      </c>
      <c r="AQ10" s="78">
        <f>IFERROR((VLOOKUP(AJ10,Scoring!$A:$B,2,0))+IF(AM10="y",1,0)+IF(AN10="y",1,0)+IF(AO10="y",1,0)+IF(AP10="y",1,0),0)</f>
        <v>0</v>
      </c>
      <c r="AR10" s="96">
        <v>24.0</v>
      </c>
      <c r="AS10" s="97">
        <v>24.0</v>
      </c>
      <c r="AT10" s="98"/>
      <c r="AU10" s="99" t="s">
        <v>129</v>
      </c>
      <c r="AV10" s="100" t="s">
        <v>129</v>
      </c>
      <c r="AW10" s="101" t="s">
        <v>129</v>
      </c>
      <c r="AX10" s="102" t="s">
        <v>129</v>
      </c>
      <c r="AY10" s="85">
        <f>IFERROR((VLOOKUP(AR10,Scoring!$D:$E,2,0))+IF(AU10="y",1,0)+IF(AV10="y",1,0)+IF(AW10="y",1,0)+IF(AX10="y",1,0),0)</f>
        <v>0</v>
      </c>
      <c r="AZ10" s="24">
        <v>24.0</v>
      </c>
      <c r="BA10" s="25">
        <v>24.0</v>
      </c>
      <c r="BB10" s="25"/>
      <c r="BC10" s="26" t="s">
        <v>129</v>
      </c>
      <c r="BD10" s="27" t="s">
        <v>129</v>
      </c>
      <c r="BE10" s="28" t="s">
        <v>129</v>
      </c>
      <c r="BF10" s="29" t="s">
        <v>129</v>
      </c>
      <c r="BG10" s="78">
        <f>IFERROR((VLOOKUP(AZ10,Scoring!$A:$B,2,0))+IF(BC10="y",1,0)+IF(BD10="y",1,0)+IF(BE10="y",1,0)+IF(BF10="y",1,0),0)</f>
        <v>0</v>
      </c>
      <c r="BH10" s="24"/>
      <c r="BI10" s="25"/>
      <c r="BJ10" s="25"/>
      <c r="BK10" s="26" t="s">
        <v>129</v>
      </c>
      <c r="BL10" s="27" t="s">
        <v>129</v>
      </c>
      <c r="BM10" s="28" t="s">
        <v>129</v>
      </c>
      <c r="BN10" s="29" t="s">
        <v>129</v>
      </c>
      <c r="BO10" s="78">
        <f>IFERROR((VLOOKUP(BH10,Scoring!$A:$B,2,0))+IF(BK10="y",1,0)+IF(BL10="y",1,0)+IF(BM10="y",1,0)+IF(BN10="y",1,0),0)</f>
        <v>0</v>
      </c>
      <c r="BP10" s="103"/>
      <c r="BQ10" s="98"/>
      <c r="BR10" s="98"/>
      <c r="BS10" s="99" t="s">
        <v>129</v>
      </c>
      <c r="BT10" s="100" t="s">
        <v>129</v>
      </c>
      <c r="BU10" s="101" t="s">
        <v>129</v>
      </c>
      <c r="BV10" s="102" t="s">
        <v>129</v>
      </c>
      <c r="BW10" s="85">
        <f>IFERROR((VLOOKUP(BP10,Scoring!$D:$E,2,0))+IF(BS10="y",1,0)+IF(BT10="y",1,0)+IF(BU10="y",1,0)+IF(BV10="y",1,0),0)</f>
        <v>0</v>
      </c>
      <c r="BX10" s="24"/>
      <c r="BY10" s="25"/>
      <c r="BZ10" s="25"/>
      <c r="CA10" s="26" t="s">
        <v>129</v>
      </c>
      <c r="CB10" s="27" t="s">
        <v>129</v>
      </c>
      <c r="CC10" s="28" t="s">
        <v>129</v>
      </c>
      <c r="CD10" s="29" t="s">
        <v>129</v>
      </c>
      <c r="CE10" s="78">
        <f>IFERROR((VLOOKUP(BX10,Scoring!$A:$B,2,0))+IF(CA10="y",1,0)+IF(CB10="y",1,0)+IF(CC10="y",1,0)+IF(CD10="y",1,0),0)</f>
        <v>0</v>
      </c>
      <c r="CF10" s="24"/>
      <c r="CG10" s="25"/>
      <c r="CH10" s="25"/>
      <c r="CI10" s="26" t="s">
        <v>129</v>
      </c>
      <c r="CJ10" s="27" t="s">
        <v>129</v>
      </c>
      <c r="CK10" s="28" t="s">
        <v>129</v>
      </c>
      <c r="CL10" s="29" t="s">
        <v>129</v>
      </c>
      <c r="CM10" s="78">
        <f>IFERROR((VLOOKUP(CF10,Scoring!$A:$B,2,0))+IF(CI10="y",1,0)+IF(CJ10="y",1,0)+IF(CK10="y",1,0)+IF(CL10="y",1,0),0)</f>
        <v>0</v>
      </c>
      <c r="CN10" s="24"/>
      <c r="CO10" s="25"/>
      <c r="CP10" s="25"/>
      <c r="CQ10" s="26" t="s">
        <v>129</v>
      </c>
      <c r="CR10" s="27" t="s">
        <v>129</v>
      </c>
      <c r="CS10" s="28" t="s">
        <v>129</v>
      </c>
      <c r="CT10" s="29" t="s">
        <v>129</v>
      </c>
      <c r="CU10" s="78">
        <f>IFERROR((VLOOKUP(CN10,Scoring!$A:$B,2,0))+IF(CQ10="y",1,0)+IF(CR10="y",1,0)+IF(CS10="y",1,0)+IF(CT10="y",1,0),0)</f>
        <v>0</v>
      </c>
      <c r="CV10" s="103"/>
      <c r="CW10" s="98"/>
      <c r="CX10" s="98"/>
      <c r="CY10" s="99" t="s">
        <v>129</v>
      </c>
      <c r="CZ10" s="100" t="s">
        <v>129</v>
      </c>
      <c r="DA10" s="101" t="s">
        <v>129</v>
      </c>
      <c r="DB10" s="102" t="s">
        <v>129</v>
      </c>
      <c r="DC10" s="85">
        <f>IFERROR((VLOOKUP(CV10,Scoring!$D:$E,2,0))+IF(CY10="y",1,0)+IF(CZ10="y",1,0)+IF(DA10="y",1,0)+IF(DB10="y",1,0),0)</f>
        <v>0</v>
      </c>
      <c r="DD10" s="24"/>
      <c r="DE10" s="25"/>
      <c r="DF10" s="25"/>
      <c r="DG10" s="26" t="s">
        <v>129</v>
      </c>
      <c r="DH10" s="27" t="s">
        <v>129</v>
      </c>
      <c r="DI10" s="28" t="s">
        <v>129</v>
      </c>
      <c r="DJ10" s="29" t="s">
        <v>129</v>
      </c>
      <c r="DK10" s="78">
        <f>IFERROR((VLOOKUP(DD10,Scoring!$A:$B,2,0))+IF(DG10="y",1,0)+IF(DH10="y",1,0)+IF(DI10="y",1,0)+IF(DJ10="y",1,0),0)</f>
        <v>0</v>
      </c>
      <c r="DL10" s="24"/>
      <c r="DM10" s="25"/>
      <c r="DN10" s="25"/>
      <c r="DO10" s="26" t="s">
        <v>129</v>
      </c>
      <c r="DP10" s="27" t="s">
        <v>129</v>
      </c>
      <c r="DQ10" s="28" t="s">
        <v>129</v>
      </c>
      <c r="DR10" s="29" t="s">
        <v>129</v>
      </c>
      <c r="DS10" s="78">
        <f>IFERROR((VLOOKUP(DL10,Scoring!$A:$B,2,0))+IF(DO10="y",1,0)+IF(DP10="y",1,0)+IF(DQ10="y",1,0)+IF(DR10="y",1,0),0)</f>
        <v>0</v>
      </c>
      <c r="DT10" s="103"/>
      <c r="DU10" s="98"/>
      <c r="DV10" s="98"/>
      <c r="DW10" s="99" t="s">
        <v>129</v>
      </c>
      <c r="DX10" s="100" t="s">
        <v>129</v>
      </c>
      <c r="DY10" s="101" t="s">
        <v>129</v>
      </c>
      <c r="DZ10" s="102" t="s">
        <v>129</v>
      </c>
      <c r="EA10" s="88">
        <f>IFERROR((VLOOKUP(DT10,Scoring!$D:$E,2,0))+IF(DW10="y",1,0)+IF(DX10="y",1,0)+IF(DY10="y",1,0)+IF(DZ10="y",1,0),0)</f>
        <v>0</v>
      </c>
      <c r="EB10" s="104"/>
      <c r="EC10" s="105"/>
      <c r="ED10" s="105"/>
      <c r="EE10" s="106" t="s">
        <v>129</v>
      </c>
      <c r="EF10" s="107" t="s">
        <v>129</v>
      </c>
      <c r="EG10" s="108" t="s">
        <v>129</v>
      </c>
      <c r="EH10" s="109" t="s">
        <v>129</v>
      </c>
      <c r="EI10" s="88">
        <f>IFERROR((VLOOKUP(EB10,Scoring!$A:$B,2,0))+IF(EE10="y",1,0)+IF(EF10="y",1,0)+IF(EG10="y",1,0)+IF(EH10="y",1,0),0)</f>
        <v>0</v>
      </c>
      <c r="EJ10" s="24"/>
      <c r="EK10" s="25"/>
      <c r="EL10" s="25"/>
      <c r="EM10" s="26" t="s">
        <v>129</v>
      </c>
      <c r="EN10" s="27" t="s">
        <v>129</v>
      </c>
      <c r="EO10" s="28" t="s">
        <v>129</v>
      </c>
      <c r="EP10" s="29" t="s">
        <v>129</v>
      </c>
      <c r="EQ10" s="78">
        <f>IFERROR((VLOOKUP(EJ10,Scoring!$A:$B,2,0))+IF(EM10="y",1,0)+IF(EN10="y",1,0)+IF(EO10="y",1,0)+IF(EP10="y",1,0),0)</f>
        <v>0</v>
      </c>
      <c r="ER10" s="104"/>
      <c r="ES10" s="105"/>
      <c r="ET10" s="105"/>
      <c r="EU10" s="106" t="s">
        <v>129</v>
      </c>
      <c r="EV10" s="107" t="s">
        <v>129</v>
      </c>
      <c r="EW10" s="108" t="s">
        <v>129</v>
      </c>
      <c r="EX10" s="109" t="s">
        <v>129</v>
      </c>
      <c r="EY10" s="88">
        <f>IFERROR((VLOOKUP(ER10,Scoring!$D:$E,2,0))+IF(EU10="y",1,0)+IF(EV10="y",1,0)+IF(EW10="y",1,0)+IF(EX10="y",1,0),0)</f>
        <v>0</v>
      </c>
      <c r="EZ10" s="24"/>
      <c r="FA10" s="25"/>
      <c r="FB10" s="25"/>
      <c r="FC10" s="26" t="s">
        <v>129</v>
      </c>
      <c r="FD10" s="27" t="s">
        <v>129</v>
      </c>
      <c r="FE10" s="28" t="s">
        <v>129</v>
      </c>
      <c r="FF10" s="29" t="s">
        <v>129</v>
      </c>
      <c r="FG10" s="78">
        <f>IFERROR((VLOOKUP(EZ10,Scoring!$A:$B,2,0))+IF(FC10="y",1,0)+IF(FD10="y",1,0)+IF(FE10="y",1,0)+IF(FF10="y",1,0),0)</f>
        <v>0</v>
      </c>
      <c r="FH10" s="13">
        <v>0.0</v>
      </c>
    </row>
    <row r="11">
      <c r="A11" s="14" t="s">
        <v>369</v>
      </c>
      <c r="B11" s="1" t="s">
        <v>372</v>
      </c>
      <c r="C11" s="15" t="s">
        <v>373</v>
      </c>
      <c r="D11" s="24">
        <v>13.0</v>
      </c>
      <c r="E11" s="25">
        <v>11.0</v>
      </c>
      <c r="F11" s="25"/>
      <c r="G11" s="26" t="s">
        <v>129</v>
      </c>
      <c r="H11" s="27" t="s">
        <v>129</v>
      </c>
      <c r="I11" s="28" t="s">
        <v>129</v>
      </c>
      <c r="J11" s="29" t="s">
        <v>129</v>
      </c>
      <c r="K11" s="95">
        <f>IFERROR((VLOOKUP(D11,Scoring!$A:$B,2,0))+IF(G11="y",1,0)+IF(H11="y",1,0)+IF(I11="y",1,0)+IF(J11="y",1,0),0)</f>
        <v>1</v>
      </c>
      <c r="L11" s="24">
        <v>24.0</v>
      </c>
      <c r="M11" s="25">
        <v>24.0</v>
      </c>
      <c r="N11" s="25"/>
      <c r="O11" s="26" t="s">
        <v>129</v>
      </c>
      <c r="P11" s="27" t="s">
        <v>129</v>
      </c>
      <c r="Q11" s="28" t="s">
        <v>129</v>
      </c>
      <c r="R11" s="29" t="s">
        <v>129</v>
      </c>
      <c r="S11" s="95">
        <f>IFERROR((VLOOKUP(L11,Scoring!$A:$B,2,0))+IF(O11="y",1,0)+IF(P11="y",1,0)+IF(Q11="y",1,0)+IF(R11="y",1,0),0)</f>
        <v>0</v>
      </c>
      <c r="T11" s="96">
        <v>24.0</v>
      </c>
      <c r="U11" s="97">
        <v>24.0</v>
      </c>
      <c r="V11" s="98"/>
      <c r="W11" s="99" t="s">
        <v>129</v>
      </c>
      <c r="X11" s="100" t="s">
        <v>129</v>
      </c>
      <c r="Y11" s="101" t="s">
        <v>129</v>
      </c>
      <c r="Z11" s="102" t="s">
        <v>129</v>
      </c>
      <c r="AA11" s="85">
        <f>IFERROR((VLOOKUP(T11,Scoring!$D:$E,2,0))+IF(W11="y",1,0)+IF(X11="y",1,0)+IF(Y11="y",1,0)+IF(Z11="y",1,0),0)</f>
        <v>0</v>
      </c>
      <c r="AB11" s="24">
        <v>24.0</v>
      </c>
      <c r="AC11" s="25">
        <v>24.0</v>
      </c>
      <c r="AD11" s="25"/>
      <c r="AE11" s="26" t="s">
        <v>129</v>
      </c>
      <c r="AF11" s="27" t="s">
        <v>129</v>
      </c>
      <c r="AG11" s="28" t="s">
        <v>129</v>
      </c>
      <c r="AH11" s="29" t="s">
        <v>129</v>
      </c>
      <c r="AI11" s="95">
        <f>IFERROR((VLOOKUP(AB11,Scoring!$A:$B,2,0))+IF(AE11="y",1,0)+IF(AF11="y",1,0)+IF(AG11="y",1,0)+IF(AH11="y",1,0),0)</f>
        <v>0</v>
      </c>
      <c r="AJ11" s="24">
        <v>24.0</v>
      </c>
      <c r="AK11" s="25">
        <v>24.0</v>
      </c>
      <c r="AL11" s="25"/>
      <c r="AM11" s="26" t="s">
        <v>129</v>
      </c>
      <c r="AN11" s="27" t="s">
        <v>129</v>
      </c>
      <c r="AO11" s="28" t="s">
        <v>129</v>
      </c>
      <c r="AP11" s="29" t="s">
        <v>129</v>
      </c>
      <c r="AQ11" s="95">
        <f>IFERROR((VLOOKUP(AJ11,Scoring!$A:$B,2,0))+IF(AM11="y",1,0)+IF(AN11="y",1,0)+IF(AO11="y",1,0)+IF(AP11="y",1,0),0)</f>
        <v>0</v>
      </c>
      <c r="AR11" s="96">
        <v>24.0</v>
      </c>
      <c r="AS11" s="97">
        <v>24.0</v>
      </c>
      <c r="AT11" s="98"/>
      <c r="AU11" s="99" t="s">
        <v>129</v>
      </c>
      <c r="AV11" s="100" t="s">
        <v>129</v>
      </c>
      <c r="AW11" s="101" t="s">
        <v>129</v>
      </c>
      <c r="AX11" s="102" t="s">
        <v>129</v>
      </c>
      <c r="AY11" s="85">
        <f>IFERROR((VLOOKUP(AR11,Scoring!$D:$E,2,0))+IF(AU11="y",1,0)+IF(AV11="y",1,0)+IF(AW11="y",1,0)+IF(AX11="y",1,0),0)</f>
        <v>0</v>
      </c>
      <c r="AZ11" s="24">
        <v>24.0</v>
      </c>
      <c r="BA11" s="25">
        <v>24.0</v>
      </c>
      <c r="BB11" s="25"/>
      <c r="BC11" s="26" t="s">
        <v>129</v>
      </c>
      <c r="BD11" s="27" t="s">
        <v>129</v>
      </c>
      <c r="BE11" s="28" t="s">
        <v>129</v>
      </c>
      <c r="BF11" s="29" t="s">
        <v>129</v>
      </c>
      <c r="BG11" s="95">
        <f>IFERROR((VLOOKUP(AZ11,Scoring!$A:$B,2,0))+IF(BC11="y",1,0)+IF(BD11="y",1,0)+IF(BE11="y",1,0)+IF(BF11="y",1,0),0)</f>
        <v>0</v>
      </c>
      <c r="BH11" s="24"/>
      <c r="BI11" s="25"/>
      <c r="BJ11" s="25"/>
      <c r="BK11" s="26" t="s">
        <v>129</v>
      </c>
      <c r="BL11" s="27" t="s">
        <v>129</v>
      </c>
      <c r="BM11" s="28" t="s">
        <v>129</v>
      </c>
      <c r="BN11" s="29" t="s">
        <v>129</v>
      </c>
      <c r="BO11" s="95">
        <f>IFERROR((VLOOKUP(BH11,Scoring!$A:$B,2,0))+IF(BK11="y",1,0)+IF(BL11="y",1,0)+IF(BM11="y",1,0)+IF(BN11="y",1,0),0)</f>
        <v>0</v>
      </c>
      <c r="BP11" s="103"/>
      <c r="BQ11" s="98"/>
      <c r="BR11" s="98"/>
      <c r="BS11" s="99" t="s">
        <v>129</v>
      </c>
      <c r="BT11" s="100" t="s">
        <v>129</v>
      </c>
      <c r="BU11" s="101" t="s">
        <v>129</v>
      </c>
      <c r="BV11" s="102" t="s">
        <v>129</v>
      </c>
      <c r="BW11" s="85">
        <f>IFERROR((VLOOKUP(BP11,Scoring!$D:$E,2,0))+IF(BS11="y",1,0)+IF(BT11="y",1,0)+IF(BU11="y",1,0)+IF(BV11="y",1,0),0)</f>
        <v>0</v>
      </c>
      <c r="BX11" s="24"/>
      <c r="BY11" s="25"/>
      <c r="BZ11" s="25"/>
      <c r="CA11" s="26" t="s">
        <v>129</v>
      </c>
      <c r="CB11" s="27" t="s">
        <v>129</v>
      </c>
      <c r="CC11" s="28" t="s">
        <v>129</v>
      </c>
      <c r="CD11" s="29" t="s">
        <v>129</v>
      </c>
      <c r="CE11" s="95">
        <f>IFERROR((VLOOKUP(BX11,Scoring!$A:$B,2,0))+IF(CA11="y",1,0)+IF(CB11="y",1,0)+IF(CC11="y",1,0)+IF(CD11="y",1,0),0)</f>
        <v>0</v>
      </c>
      <c r="CF11" s="24"/>
      <c r="CG11" s="25"/>
      <c r="CH11" s="25"/>
      <c r="CI11" s="26" t="s">
        <v>129</v>
      </c>
      <c r="CJ11" s="27" t="s">
        <v>129</v>
      </c>
      <c r="CK11" s="28" t="s">
        <v>129</v>
      </c>
      <c r="CL11" s="29" t="s">
        <v>129</v>
      </c>
      <c r="CM11" s="95">
        <f>IFERROR((VLOOKUP(CF11,Scoring!$A:$B,2,0))+IF(CI11="y",1,0)+IF(CJ11="y",1,0)+IF(CK11="y",1,0)+IF(CL11="y",1,0),0)</f>
        <v>0</v>
      </c>
      <c r="CN11" s="24"/>
      <c r="CO11" s="25"/>
      <c r="CP11" s="25"/>
      <c r="CQ11" s="26" t="s">
        <v>129</v>
      </c>
      <c r="CR11" s="27" t="s">
        <v>129</v>
      </c>
      <c r="CS11" s="28" t="s">
        <v>129</v>
      </c>
      <c r="CT11" s="29" t="s">
        <v>129</v>
      </c>
      <c r="CU11" s="95">
        <f>IFERROR((VLOOKUP(CN11,Scoring!$A:$B,2,0))+IF(CQ11="y",1,0)+IF(CR11="y",1,0)+IF(CS11="y",1,0)+IF(CT11="y",1,0),0)</f>
        <v>0</v>
      </c>
      <c r="CV11" s="103"/>
      <c r="CW11" s="98"/>
      <c r="CX11" s="98"/>
      <c r="CY11" s="99" t="s">
        <v>129</v>
      </c>
      <c r="CZ11" s="100" t="s">
        <v>129</v>
      </c>
      <c r="DA11" s="101" t="s">
        <v>129</v>
      </c>
      <c r="DB11" s="102" t="s">
        <v>129</v>
      </c>
      <c r="DC11" s="85">
        <f>IFERROR((VLOOKUP(CV11,Scoring!$D:$E,2,0))+IF(CY11="y",1,0)+IF(CZ11="y",1,0)+IF(DA11="y",1,0)+IF(DB11="y",1,0),0)</f>
        <v>0</v>
      </c>
      <c r="DD11" s="24"/>
      <c r="DE11" s="25"/>
      <c r="DF11" s="25"/>
      <c r="DG11" s="26" t="s">
        <v>129</v>
      </c>
      <c r="DH11" s="27" t="s">
        <v>129</v>
      </c>
      <c r="DI11" s="28" t="s">
        <v>129</v>
      </c>
      <c r="DJ11" s="29" t="s">
        <v>129</v>
      </c>
      <c r="DK11" s="95">
        <f>IFERROR((VLOOKUP(DD11,Scoring!$A:$B,2,0))+IF(DG11="y",1,0)+IF(DH11="y",1,0)+IF(DI11="y",1,0)+IF(DJ11="y",1,0),0)</f>
        <v>0</v>
      </c>
      <c r="DL11" s="24"/>
      <c r="DM11" s="25"/>
      <c r="DN11" s="25"/>
      <c r="DO11" s="26" t="s">
        <v>129</v>
      </c>
      <c r="DP11" s="27" t="s">
        <v>129</v>
      </c>
      <c r="DQ11" s="28" t="s">
        <v>129</v>
      </c>
      <c r="DR11" s="29" t="s">
        <v>129</v>
      </c>
      <c r="DS11" s="95">
        <f>IFERROR((VLOOKUP(DL11,Scoring!$A:$B,2,0))+IF(DO11="y",1,0)+IF(DP11="y",1,0)+IF(DQ11="y",1,0)+IF(DR11="y",1,0),0)</f>
        <v>0</v>
      </c>
      <c r="DT11" s="103"/>
      <c r="DU11" s="98"/>
      <c r="DV11" s="98"/>
      <c r="DW11" s="99" t="s">
        <v>129</v>
      </c>
      <c r="DX11" s="100" t="s">
        <v>129</v>
      </c>
      <c r="DY11" s="101" t="s">
        <v>129</v>
      </c>
      <c r="DZ11" s="102" t="s">
        <v>129</v>
      </c>
      <c r="EA11" s="88">
        <f>IFERROR((VLOOKUP(DT11,Scoring!$D:$E,2,0))+IF(DW11="y",1,0)+IF(DX11="y",1,0)+IF(DY11="y",1,0)+IF(DZ11="y",1,0),0)</f>
        <v>0</v>
      </c>
      <c r="EB11" s="104"/>
      <c r="EC11" s="105"/>
      <c r="ED11" s="105"/>
      <c r="EE11" s="106" t="s">
        <v>129</v>
      </c>
      <c r="EF11" s="107" t="s">
        <v>129</v>
      </c>
      <c r="EG11" s="108" t="s">
        <v>129</v>
      </c>
      <c r="EH11" s="109" t="s">
        <v>129</v>
      </c>
      <c r="EI11" s="110">
        <f>IFERROR((VLOOKUP(EB11,Scoring!$A:$B,2,0))+IF(EE11="y",1,0)+IF(EF11="y",1,0)+IF(EG11="y",1,0)+IF(EH11="y",1,0),0)</f>
        <v>0</v>
      </c>
      <c r="EJ11" s="24"/>
      <c r="EK11" s="25"/>
      <c r="EL11" s="25"/>
      <c r="EM11" s="26" t="s">
        <v>129</v>
      </c>
      <c r="EN11" s="27" t="s">
        <v>129</v>
      </c>
      <c r="EO11" s="28" t="s">
        <v>129</v>
      </c>
      <c r="EP11" s="29" t="s">
        <v>129</v>
      </c>
      <c r="EQ11" s="95">
        <f>IFERROR((VLOOKUP(EJ11,Scoring!$A:$B,2,0))+IF(EM11="y",1,0)+IF(EN11="y",1,0)+IF(EO11="y",1,0)+IF(EP11="y",1,0),0)</f>
        <v>0</v>
      </c>
      <c r="ER11" s="104"/>
      <c r="ES11" s="105"/>
      <c r="ET11" s="105"/>
      <c r="EU11" s="106" t="s">
        <v>129</v>
      </c>
      <c r="EV11" s="107" t="s">
        <v>129</v>
      </c>
      <c r="EW11" s="108" t="s">
        <v>129</v>
      </c>
      <c r="EX11" s="109" t="s">
        <v>129</v>
      </c>
      <c r="EY11" s="88">
        <f>IFERROR((VLOOKUP(ER11,Scoring!$D:$E,2,0))+IF(EU11="y",1,0)+IF(EV11="y",1,0)+IF(EW11="y",1,0)+IF(EX11="y",1,0),0)</f>
        <v>0</v>
      </c>
      <c r="EZ11" s="24"/>
      <c r="FA11" s="25"/>
      <c r="FB11" s="25"/>
      <c r="FC11" s="26" t="s">
        <v>129</v>
      </c>
      <c r="FD11" s="27" t="s">
        <v>129</v>
      </c>
      <c r="FE11" s="28" t="s">
        <v>129</v>
      </c>
      <c r="FF11" s="29" t="s">
        <v>129</v>
      </c>
      <c r="FG11" s="95">
        <f>IFERROR((VLOOKUP(EZ11,Scoring!$A:$B,2,0))+IF(FC11="y",1,0)+IF(FD11="y",1,0)+IF(FE11="y",1,0)+IF(FF11="y",1,0),0)</f>
        <v>0</v>
      </c>
      <c r="FH11" s="13">
        <v>0.0</v>
      </c>
    </row>
    <row r="12">
      <c r="A12" s="33" t="s">
        <v>374</v>
      </c>
      <c r="B12" s="34" t="s">
        <v>35</v>
      </c>
      <c r="C12" s="35" t="s">
        <v>36</v>
      </c>
      <c r="D12" s="36">
        <v>24.0</v>
      </c>
      <c r="E12" s="37">
        <v>24.0</v>
      </c>
      <c r="F12" s="37"/>
      <c r="G12" s="38" t="s">
        <v>129</v>
      </c>
      <c r="H12" s="39" t="s">
        <v>129</v>
      </c>
      <c r="I12" s="40" t="s">
        <v>129</v>
      </c>
      <c r="J12" s="41" t="s">
        <v>129</v>
      </c>
      <c r="K12" s="78">
        <f>IFERROR((VLOOKUP(D12,Scoring!$A:$B,2,0))+IF(G12="y",1,0)+IF(H12="y",1,0)+IF(I12="y",1,0)+IF(J12="y",1,0),0)</f>
        <v>0</v>
      </c>
      <c r="L12" s="36">
        <v>24.0</v>
      </c>
      <c r="M12" s="37">
        <v>24.0</v>
      </c>
      <c r="N12" s="37"/>
      <c r="O12" s="38" t="s">
        <v>129</v>
      </c>
      <c r="P12" s="39" t="s">
        <v>129</v>
      </c>
      <c r="Q12" s="40" t="s">
        <v>129</v>
      </c>
      <c r="R12" s="41" t="s">
        <v>129</v>
      </c>
      <c r="S12" s="78">
        <f>IFERROR((VLOOKUP(L12,Scoring!$A:$B,2,0))+IF(O12="y",1,0)+IF(P12="y",1,0)+IF(Q12="y",1,0)+IF(R12="y",1,0),0)</f>
        <v>0</v>
      </c>
      <c r="T12" s="111">
        <v>24.0</v>
      </c>
      <c r="U12" s="112">
        <v>24.0</v>
      </c>
      <c r="V12" s="113"/>
      <c r="W12" s="114" t="s">
        <v>129</v>
      </c>
      <c r="X12" s="115" t="s">
        <v>129</v>
      </c>
      <c r="Y12" s="116" t="s">
        <v>129</v>
      </c>
      <c r="Z12" s="117" t="s">
        <v>129</v>
      </c>
      <c r="AA12" s="85">
        <f>IFERROR((VLOOKUP(T12,Scoring!$D:$E,2,0))+IF(W12="y",1,0)+IF(X12="y",1,0)+IF(Y12="y",1,0)+IF(Z12="y",1,0),0)</f>
        <v>0</v>
      </c>
      <c r="AB12" s="36">
        <v>24.0</v>
      </c>
      <c r="AC12" s="37">
        <v>24.0</v>
      </c>
      <c r="AD12" s="37"/>
      <c r="AE12" s="38" t="s">
        <v>129</v>
      </c>
      <c r="AF12" s="39" t="s">
        <v>129</v>
      </c>
      <c r="AG12" s="40" t="s">
        <v>129</v>
      </c>
      <c r="AH12" s="41" t="s">
        <v>129</v>
      </c>
      <c r="AI12" s="78">
        <f>IFERROR((VLOOKUP(AB12,Scoring!$A:$B,2,0))+IF(AE12="y",1,0)+IF(AF12="y",1,0)+IF(AG12="y",1,0)+IF(AH12="y",1,0),0)</f>
        <v>0</v>
      </c>
      <c r="AJ12" s="36">
        <v>24.0</v>
      </c>
      <c r="AK12" s="37">
        <v>24.0</v>
      </c>
      <c r="AL12" s="37"/>
      <c r="AM12" s="38" t="s">
        <v>129</v>
      </c>
      <c r="AN12" s="39" t="s">
        <v>129</v>
      </c>
      <c r="AO12" s="40" t="s">
        <v>129</v>
      </c>
      <c r="AP12" s="41" t="s">
        <v>129</v>
      </c>
      <c r="AQ12" s="78">
        <f>IFERROR((VLOOKUP(AJ12,Scoring!$A:$B,2,0))+IF(AM12="y",1,0)+IF(AN12="y",1,0)+IF(AO12="y",1,0)+IF(AP12="y",1,0),0)</f>
        <v>0</v>
      </c>
      <c r="AR12" s="111">
        <v>24.0</v>
      </c>
      <c r="AS12" s="112">
        <v>24.0</v>
      </c>
      <c r="AT12" s="113"/>
      <c r="AU12" s="114" t="s">
        <v>129</v>
      </c>
      <c r="AV12" s="115" t="s">
        <v>129</v>
      </c>
      <c r="AW12" s="116" t="s">
        <v>129</v>
      </c>
      <c r="AX12" s="117" t="s">
        <v>129</v>
      </c>
      <c r="AY12" s="85">
        <f>IFERROR((VLOOKUP(AR12,Scoring!$D:$E,2,0))+IF(AU12="y",1,0)+IF(AV12="y",1,0)+IF(AW12="y",1,0)+IF(AX12="y",1,0),0)</f>
        <v>0</v>
      </c>
      <c r="AZ12" s="36">
        <v>24.0</v>
      </c>
      <c r="BA12" s="37">
        <v>24.0</v>
      </c>
      <c r="BB12" s="37"/>
      <c r="BC12" s="38" t="s">
        <v>129</v>
      </c>
      <c r="BD12" s="39" t="s">
        <v>129</v>
      </c>
      <c r="BE12" s="40" t="s">
        <v>129</v>
      </c>
      <c r="BF12" s="41" t="s">
        <v>129</v>
      </c>
      <c r="BG12" s="78">
        <f>IFERROR((VLOOKUP(AZ12,Scoring!$A:$B,2,0))+IF(BC12="y",1,0)+IF(BD12="y",1,0)+IF(BE12="y",1,0)+IF(BF12="y",1,0),0)</f>
        <v>0</v>
      </c>
      <c r="BH12" s="36"/>
      <c r="BI12" s="37"/>
      <c r="BJ12" s="37"/>
      <c r="BK12" s="38" t="s">
        <v>129</v>
      </c>
      <c r="BL12" s="39" t="s">
        <v>129</v>
      </c>
      <c r="BM12" s="40" t="s">
        <v>129</v>
      </c>
      <c r="BN12" s="41" t="s">
        <v>129</v>
      </c>
      <c r="BO12" s="78">
        <f>IFERROR((VLOOKUP(BH12,Scoring!$A:$B,2,0))+IF(BK12="y",1,0)+IF(BL12="y",1,0)+IF(BM12="y",1,0)+IF(BN12="y",1,0),0)</f>
        <v>0</v>
      </c>
      <c r="BP12" s="118"/>
      <c r="BQ12" s="113"/>
      <c r="BR12" s="113"/>
      <c r="BS12" s="114" t="s">
        <v>129</v>
      </c>
      <c r="BT12" s="115" t="s">
        <v>129</v>
      </c>
      <c r="BU12" s="116" t="s">
        <v>129</v>
      </c>
      <c r="BV12" s="117" t="s">
        <v>129</v>
      </c>
      <c r="BW12" s="85">
        <f>IFERROR((VLOOKUP(BP12,Scoring!$D:$E,2,0))+IF(BS12="y",1,0)+IF(BT12="y",1,0)+IF(BU12="y",1,0)+IF(BV12="y",1,0),0)</f>
        <v>0</v>
      </c>
      <c r="BX12" s="36"/>
      <c r="BY12" s="37"/>
      <c r="BZ12" s="37"/>
      <c r="CA12" s="38" t="s">
        <v>129</v>
      </c>
      <c r="CB12" s="39" t="s">
        <v>129</v>
      </c>
      <c r="CC12" s="40" t="s">
        <v>129</v>
      </c>
      <c r="CD12" s="41" t="s">
        <v>129</v>
      </c>
      <c r="CE12" s="78">
        <f>IFERROR((VLOOKUP(BX12,Scoring!$A:$B,2,0))+IF(CA12="y",1,0)+IF(CB12="y",1,0)+IF(CC12="y",1,0)+IF(CD12="y",1,0),0)</f>
        <v>0</v>
      </c>
      <c r="CF12" s="36"/>
      <c r="CG12" s="37"/>
      <c r="CH12" s="37"/>
      <c r="CI12" s="38" t="s">
        <v>129</v>
      </c>
      <c r="CJ12" s="39" t="s">
        <v>129</v>
      </c>
      <c r="CK12" s="40" t="s">
        <v>129</v>
      </c>
      <c r="CL12" s="41" t="s">
        <v>129</v>
      </c>
      <c r="CM12" s="78">
        <f>IFERROR((VLOOKUP(CF12,Scoring!$A:$B,2,0))+IF(CI12="y",1,0)+IF(CJ12="y",1,0)+IF(CK12="y",1,0)+IF(CL12="y",1,0),0)</f>
        <v>0</v>
      </c>
      <c r="CN12" s="36"/>
      <c r="CO12" s="37"/>
      <c r="CP12" s="37"/>
      <c r="CQ12" s="38" t="s">
        <v>129</v>
      </c>
      <c r="CR12" s="39" t="s">
        <v>129</v>
      </c>
      <c r="CS12" s="40" t="s">
        <v>129</v>
      </c>
      <c r="CT12" s="41" t="s">
        <v>129</v>
      </c>
      <c r="CU12" s="78">
        <f>IFERROR((VLOOKUP(CN12,Scoring!$A:$B,2,0))+IF(CQ12="y",1,0)+IF(CR12="y",1,0)+IF(CS12="y",1,0)+IF(CT12="y",1,0),0)</f>
        <v>0</v>
      </c>
      <c r="CV12" s="118"/>
      <c r="CW12" s="113"/>
      <c r="CX12" s="113"/>
      <c r="CY12" s="114" t="s">
        <v>129</v>
      </c>
      <c r="CZ12" s="115" t="s">
        <v>129</v>
      </c>
      <c r="DA12" s="116" t="s">
        <v>129</v>
      </c>
      <c r="DB12" s="117" t="s">
        <v>129</v>
      </c>
      <c r="DC12" s="85">
        <f>IFERROR((VLOOKUP(CV12,Scoring!$D:$E,2,0))+IF(CY12="y",1,0)+IF(CZ12="y",1,0)+IF(DA12="y",1,0)+IF(DB12="y",1,0),0)</f>
        <v>0</v>
      </c>
      <c r="DD12" s="36"/>
      <c r="DE12" s="37"/>
      <c r="DF12" s="37"/>
      <c r="DG12" s="38" t="s">
        <v>129</v>
      </c>
      <c r="DH12" s="39" t="s">
        <v>129</v>
      </c>
      <c r="DI12" s="40" t="s">
        <v>129</v>
      </c>
      <c r="DJ12" s="41" t="s">
        <v>129</v>
      </c>
      <c r="DK12" s="78">
        <f>IFERROR((VLOOKUP(DD12,Scoring!$A:$B,2,0))+IF(DG12="y",1,0)+IF(DH12="y",1,0)+IF(DI12="y",1,0)+IF(DJ12="y",1,0),0)</f>
        <v>0</v>
      </c>
      <c r="DL12" s="36"/>
      <c r="DM12" s="37"/>
      <c r="DN12" s="37"/>
      <c r="DO12" s="38" t="s">
        <v>129</v>
      </c>
      <c r="DP12" s="39" t="s">
        <v>129</v>
      </c>
      <c r="DQ12" s="40" t="s">
        <v>129</v>
      </c>
      <c r="DR12" s="41" t="s">
        <v>129</v>
      </c>
      <c r="DS12" s="78">
        <f>IFERROR((VLOOKUP(DL12,Scoring!$A:$B,2,0))+IF(DO12="y",1,0)+IF(DP12="y",1,0)+IF(DQ12="y",1,0)+IF(DR12="y",1,0),0)</f>
        <v>0</v>
      </c>
      <c r="DT12" s="118"/>
      <c r="DU12" s="113"/>
      <c r="DV12" s="113"/>
      <c r="DW12" s="114" t="s">
        <v>129</v>
      </c>
      <c r="DX12" s="115" t="s">
        <v>129</v>
      </c>
      <c r="DY12" s="116" t="s">
        <v>129</v>
      </c>
      <c r="DZ12" s="117" t="s">
        <v>129</v>
      </c>
      <c r="EA12" s="88">
        <f>IFERROR((VLOOKUP(DT12,Scoring!$D:$E,2,0))+IF(DW12="y",1,0)+IF(DX12="y",1,0)+IF(DY12="y",1,0)+IF(DZ12="y",1,0),0)</f>
        <v>0</v>
      </c>
      <c r="EB12" s="119"/>
      <c r="EC12" s="120"/>
      <c r="ED12" s="120"/>
      <c r="EE12" s="121" t="s">
        <v>129</v>
      </c>
      <c r="EF12" s="122" t="s">
        <v>129</v>
      </c>
      <c r="EG12" s="123" t="s">
        <v>129</v>
      </c>
      <c r="EH12" s="124" t="s">
        <v>129</v>
      </c>
      <c r="EI12" s="88">
        <f>IFERROR((VLOOKUP(EB12,Scoring!$A:$B,2,0))+IF(EE12="y",1,0)+IF(EF12="y",1,0)+IF(EG12="y",1,0)+IF(EH12="y",1,0),0)</f>
        <v>0</v>
      </c>
      <c r="EJ12" s="36"/>
      <c r="EK12" s="37"/>
      <c r="EL12" s="37"/>
      <c r="EM12" s="38" t="s">
        <v>129</v>
      </c>
      <c r="EN12" s="39" t="s">
        <v>129</v>
      </c>
      <c r="EO12" s="40" t="s">
        <v>129</v>
      </c>
      <c r="EP12" s="41" t="s">
        <v>129</v>
      </c>
      <c r="EQ12" s="78">
        <f>IFERROR((VLOOKUP(EJ12,Scoring!$A:$B,2,0))+IF(EM12="y",1,0)+IF(EN12="y",1,0)+IF(EO12="y",1,0)+IF(EP12="y",1,0),0)</f>
        <v>0</v>
      </c>
      <c r="ER12" s="119"/>
      <c r="ES12" s="120"/>
      <c r="ET12" s="120"/>
      <c r="EU12" s="121" t="s">
        <v>129</v>
      </c>
      <c r="EV12" s="122" t="s">
        <v>129</v>
      </c>
      <c r="EW12" s="123" t="s">
        <v>129</v>
      </c>
      <c r="EX12" s="124" t="s">
        <v>129</v>
      </c>
      <c r="EY12" s="88">
        <f>IFERROR((VLOOKUP(ER12,Scoring!$D:$E,2,0))+IF(EU12="y",1,0)+IF(EV12="y",1,0)+IF(EW12="y",1,0)+IF(EX12="y",1,0),0)</f>
        <v>0</v>
      </c>
      <c r="EZ12" s="36"/>
      <c r="FA12" s="37"/>
      <c r="FB12" s="37"/>
      <c r="FC12" s="38" t="s">
        <v>129</v>
      </c>
      <c r="FD12" s="39" t="s">
        <v>129</v>
      </c>
      <c r="FE12" s="40" t="s">
        <v>129</v>
      </c>
      <c r="FF12" s="41" t="s">
        <v>129</v>
      </c>
      <c r="FG12" s="78">
        <f>IFERROR((VLOOKUP(EZ12,Scoring!$A:$B,2,0))+IF(FC12="y",1,0)+IF(FD12="y",1,0)+IF(FE12="y",1,0)+IF(FF12="y",1,0),0)</f>
        <v>0</v>
      </c>
      <c r="FH12" s="13">
        <v>0.0</v>
      </c>
    </row>
    <row r="13">
      <c r="A13" s="14" t="s">
        <v>374</v>
      </c>
      <c r="B13" s="1" t="s">
        <v>375</v>
      </c>
      <c r="C13" s="15" t="s">
        <v>376</v>
      </c>
      <c r="D13" s="24">
        <v>14.0</v>
      </c>
      <c r="E13" s="25">
        <v>12.0</v>
      </c>
      <c r="F13" s="25"/>
      <c r="G13" s="26" t="s">
        <v>129</v>
      </c>
      <c r="H13" s="27" t="s">
        <v>129</v>
      </c>
      <c r="I13" s="28" t="s">
        <v>129</v>
      </c>
      <c r="J13" s="29" t="s">
        <v>129</v>
      </c>
      <c r="K13" s="95">
        <f>IFERROR((VLOOKUP(D13,Scoring!$A:$B,2,0))+IF(G13="y",1,0)+IF(H13="y",1,0)+IF(I13="y",1,0)+IF(J13="y",1,0),0)</f>
        <v>1</v>
      </c>
      <c r="L13" s="24">
        <v>12.0</v>
      </c>
      <c r="M13" s="25">
        <v>10.0</v>
      </c>
      <c r="N13" s="25"/>
      <c r="O13" s="26" t="s">
        <v>129</v>
      </c>
      <c r="P13" s="27" t="s">
        <v>129</v>
      </c>
      <c r="Q13" s="28" t="s">
        <v>129</v>
      </c>
      <c r="R13" s="29" t="s">
        <v>129</v>
      </c>
      <c r="S13" s="95">
        <f>IFERROR((VLOOKUP(L13,Scoring!$A:$B,2,0))+IF(O13="y",1,0)+IF(P13="y",1,0)+IF(Q13="y",1,0)+IF(R13="y",1,0),0)</f>
        <v>1</v>
      </c>
      <c r="T13" s="96">
        <v>23.0</v>
      </c>
      <c r="U13" s="97">
        <v>9.0</v>
      </c>
      <c r="V13" s="98"/>
      <c r="W13" s="99" t="s">
        <v>129</v>
      </c>
      <c r="X13" s="100" t="s">
        <v>129</v>
      </c>
      <c r="Y13" s="101" t="s">
        <v>129</v>
      </c>
      <c r="Z13" s="102" t="s">
        <v>129</v>
      </c>
      <c r="AA13" s="85">
        <f>IFERROR((VLOOKUP(T13,Scoring!$D:$E,2,0))+IF(W13="y",1,0)+IF(X13="y",1,0)+IF(Y13="y",1,0)+IF(Z13="y",1,0),0)</f>
        <v>0</v>
      </c>
      <c r="AB13" s="24">
        <v>10.0</v>
      </c>
      <c r="AC13" s="25">
        <v>11.0</v>
      </c>
      <c r="AD13" s="25"/>
      <c r="AE13" s="26" t="s">
        <v>129</v>
      </c>
      <c r="AF13" s="27" t="s">
        <v>129</v>
      </c>
      <c r="AG13" s="28" t="s">
        <v>129</v>
      </c>
      <c r="AH13" s="29" t="s">
        <v>129</v>
      </c>
      <c r="AI13" s="95">
        <f>IFERROR((VLOOKUP(AB13,Scoring!$A:$B,2,0))+IF(AE13="y",1,0)+IF(AF13="y",1,0)+IF(AG13="y",1,0)+IF(AH13="y",1,0),0)</f>
        <v>2</v>
      </c>
      <c r="AJ13" s="24">
        <v>11.0</v>
      </c>
      <c r="AK13" s="25">
        <v>8.0</v>
      </c>
      <c r="AL13" s="25"/>
      <c r="AM13" s="26" t="s">
        <v>129</v>
      </c>
      <c r="AN13" s="27" t="s">
        <v>129</v>
      </c>
      <c r="AO13" s="28" t="s">
        <v>129</v>
      </c>
      <c r="AP13" s="29" t="s">
        <v>129</v>
      </c>
      <c r="AQ13" s="95">
        <f>IFERROR((VLOOKUP(AJ13,Scoring!$A:$B,2,0))+IF(AM13="y",1,0)+IF(AN13="y",1,0)+IF(AO13="y",1,0)+IF(AP13="y",1,0),0)</f>
        <v>1</v>
      </c>
      <c r="AR13" s="96">
        <v>9.0</v>
      </c>
      <c r="AS13" s="97">
        <v>7.0</v>
      </c>
      <c r="AT13" s="98"/>
      <c r="AU13" s="99" t="s">
        <v>129</v>
      </c>
      <c r="AV13" s="100" t="s">
        <v>129</v>
      </c>
      <c r="AW13" s="101" t="s">
        <v>129</v>
      </c>
      <c r="AX13" s="102" t="s">
        <v>129</v>
      </c>
      <c r="AY13" s="85">
        <f>IFERROR((VLOOKUP(AR13,Scoring!$D:$E,2,0))+IF(AU13="y",1,0)+IF(AV13="y",1,0)+IF(AW13="y",1,0)+IF(AX13="y",1,0),0)</f>
        <v>0.5</v>
      </c>
      <c r="AZ13" s="24">
        <v>10.0</v>
      </c>
      <c r="BA13" s="25">
        <v>1.0</v>
      </c>
      <c r="BB13" s="25"/>
      <c r="BC13" s="26" t="s">
        <v>129</v>
      </c>
      <c r="BD13" s="27" t="s">
        <v>129</v>
      </c>
      <c r="BE13" s="28" t="s">
        <v>129</v>
      </c>
      <c r="BF13" s="29" t="s">
        <v>129</v>
      </c>
      <c r="BG13" s="95">
        <f>IFERROR((VLOOKUP(AZ13,Scoring!$A:$B,2,0))+IF(BC13="y",1,0)+IF(BD13="y",1,0)+IF(BE13="y",1,0)+IF(BF13="y",1,0),0)</f>
        <v>2</v>
      </c>
      <c r="BH13" s="24"/>
      <c r="BI13" s="25"/>
      <c r="BJ13" s="25"/>
      <c r="BK13" s="26" t="s">
        <v>129</v>
      </c>
      <c r="BL13" s="27" t="s">
        <v>129</v>
      </c>
      <c r="BM13" s="28" t="s">
        <v>129</v>
      </c>
      <c r="BN13" s="29" t="s">
        <v>129</v>
      </c>
      <c r="BO13" s="95">
        <f>IFERROR((VLOOKUP(BH13,Scoring!$A:$B,2,0))+IF(BK13="y",1,0)+IF(BL13="y",1,0)+IF(BM13="y",1,0)+IF(BN13="y",1,0),0)</f>
        <v>0</v>
      </c>
      <c r="BP13" s="103"/>
      <c r="BQ13" s="98"/>
      <c r="BR13" s="98"/>
      <c r="BS13" s="99" t="s">
        <v>129</v>
      </c>
      <c r="BT13" s="100" t="s">
        <v>129</v>
      </c>
      <c r="BU13" s="101" t="s">
        <v>129</v>
      </c>
      <c r="BV13" s="102" t="s">
        <v>129</v>
      </c>
      <c r="BW13" s="85">
        <f>IFERROR((VLOOKUP(BP13,Scoring!$D:$E,2,0))+IF(BS13="y",1,0)+IF(BT13="y",1,0)+IF(BU13="y",1,0)+IF(BV13="y",1,0),0)</f>
        <v>0</v>
      </c>
      <c r="BX13" s="24"/>
      <c r="BY13" s="25"/>
      <c r="BZ13" s="25"/>
      <c r="CA13" s="26" t="s">
        <v>129</v>
      </c>
      <c r="CB13" s="27" t="s">
        <v>129</v>
      </c>
      <c r="CC13" s="28" t="s">
        <v>129</v>
      </c>
      <c r="CD13" s="29" t="s">
        <v>129</v>
      </c>
      <c r="CE13" s="95">
        <f>IFERROR((VLOOKUP(BX13,Scoring!$A:$B,2,0))+IF(CA13="y",1,0)+IF(CB13="y",1,0)+IF(CC13="y",1,0)+IF(CD13="y",1,0),0)</f>
        <v>0</v>
      </c>
      <c r="CF13" s="24"/>
      <c r="CG13" s="25"/>
      <c r="CH13" s="25"/>
      <c r="CI13" s="26" t="s">
        <v>129</v>
      </c>
      <c r="CJ13" s="27" t="s">
        <v>129</v>
      </c>
      <c r="CK13" s="28" t="s">
        <v>129</v>
      </c>
      <c r="CL13" s="29" t="s">
        <v>129</v>
      </c>
      <c r="CM13" s="95">
        <f>IFERROR((VLOOKUP(CF13,Scoring!$A:$B,2,0))+IF(CI13="y",1,0)+IF(CJ13="y",1,0)+IF(CK13="y",1,0)+IF(CL13="y",1,0),0)</f>
        <v>0</v>
      </c>
      <c r="CN13" s="24"/>
      <c r="CO13" s="25"/>
      <c r="CP13" s="25"/>
      <c r="CQ13" s="26" t="s">
        <v>129</v>
      </c>
      <c r="CR13" s="27" t="s">
        <v>129</v>
      </c>
      <c r="CS13" s="28" t="s">
        <v>129</v>
      </c>
      <c r="CT13" s="29" t="s">
        <v>129</v>
      </c>
      <c r="CU13" s="95">
        <f>IFERROR((VLOOKUP(CN13,Scoring!$A:$B,2,0))+IF(CQ13="y",1,0)+IF(CR13="y",1,0)+IF(CS13="y",1,0)+IF(CT13="y",1,0),0)</f>
        <v>0</v>
      </c>
      <c r="CV13" s="103"/>
      <c r="CW13" s="98"/>
      <c r="CX13" s="98"/>
      <c r="CY13" s="99" t="s">
        <v>129</v>
      </c>
      <c r="CZ13" s="100" t="s">
        <v>129</v>
      </c>
      <c r="DA13" s="101" t="s">
        <v>129</v>
      </c>
      <c r="DB13" s="102" t="s">
        <v>129</v>
      </c>
      <c r="DC13" s="85">
        <f>IFERROR((VLOOKUP(CV13,Scoring!$D:$E,2,0))+IF(CY13="y",1,0)+IF(CZ13="y",1,0)+IF(DA13="y",1,0)+IF(DB13="y",1,0),0)</f>
        <v>0</v>
      </c>
      <c r="DD13" s="24"/>
      <c r="DE13" s="25"/>
      <c r="DF13" s="25"/>
      <c r="DG13" s="26" t="s">
        <v>129</v>
      </c>
      <c r="DH13" s="27" t="s">
        <v>129</v>
      </c>
      <c r="DI13" s="28" t="s">
        <v>129</v>
      </c>
      <c r="DJ13" s="29" t="s">
        <v>129</v>
      </c>
      <c r="DK13" s="95">
        <f>IFERROR((VLOOKUP(DD13,Scoring!$A:$B,2,0))+IF(DG13="y",1,0)+IF(DH13="y",1,0)+IF(DI13="y",1,0)+IF(DJ13="y",1,0),0)</f>
        <v>0</v>
      </c>
      <c r="DL13" s="24"/>
      <c r="DM13" s="25"/>
      <c r="DN13" s="25"/>
      <c r="DO13" s="26" t="s">
        <v>129</v>
      </c>
      <c r="DP13" s="27" t="s">
        <v>129</v>
      </c>
      <c r="DQ13" s="28" t="s">
        <v>129</v>
      </c>
      <c r="DR13" s="29" t="s">
        <v>129</v>
      </c>
      <c r="DS13" s="95">
        <f>IFERROR((VLOOKUP(DL13,Scoring!$A:$B,2,0))+IF(DO13="y",1,0)+IF(DP13="y",1,0)+IF(DQ13="y",1,0)+IF(DR13="y",1,0),0)</f>
        <v>0</v>
      </c>
      <c r="DT13" s="103"/>
      <c r="DU13" s="98"/>
      <c r="DV13" s="98"/>
      <c r="DW13" s="99" t="s">
        <v>129</v>
      </c>
      <c r="DX13" s="100" t="s">
        <v>129</v>
      </c>
      <c r="DY13" s="101" t="s">
        <v>129</v>
      </c>
      <c r="DZ13" s="102" t="s">
        <v>129</v>
      </c>
      <c r="EA13" s="88">
        <f>IFERROR((VLOOKUP(DT13,Scoring!$D:$E,2,0))+IF(DW13="y",1,0)+IF(DX13="y",1,0)+IF(DY13="y",1,0)+IF(DZ13="y",1,0),0)</f>
        <v>0</v>
      </c>
      <c r="EB13" s="104"/>
      <c r="EC13" s="105"/>
      <c r="ED13" s="105"/>
      <c r="EE13" s="106" t="s">
        <v>129</v>
      </c>
      <c r="EF13" s="107" t="s">
        <v>129</v>
      </c>
      <c r="EG13" s="108" t="s">
        <v>129</v>
      </c>
      <c r="EH13" s="109" t="s">
        <v>129</v>
      </c>
      <c r="EI13" s="110">
        <f>IFERROR((VLOOKUP(EB13,Scoring!$A:$B,2,0))+IF(EE13="y",1,0)+IF(EF13="y",1,0)+IF(EG13="y",1,0)+IF(EH13="y",1,0),0)</f>
        <v>0</v>
      </c>
      <c r="EJ13" s="24"/>
      <c r="EK13" s="25"/>
      <c r="EL13" s="25"/>
      <c r="EM13" s="26" t="s">
        <v>129</v>
      </c>
      <c r="EN13" s="27" t="s">
        <v>129</v>
      </c>
      <c r="EO13" s="28" t="s">
        <v>129</v>
      </c>
      <c r="EP13" s="29" t="s">
        <v>129</v>
      </c>
      <c r="EQ13" s="95">
        <f>IFERROR((VLOOKUP(EJ13,Scoring!$A:$B,2,0))+IF(EM13="y",1,0)+IF(EN13="y",1,0)+IF(EO13="y",1,0)+IF(EP13="y",1,0),0)</f>
        <v>0</v>
      </c>
      <c r="ER13" s="104"/>
      <c r="ES13" s="105"/>
      <c r="ET13" s="105"/>
      <c r="EU13" s="106" t="s">
        <v>129</v>
      </c>
      <c r="EV13" s="107" t="s">
        <v>129</v>
      </c>
      <c r="EW13" s="108" t="s">
        <v>129</v>
      </c>
      <c r="EX13" s="109" t="s">
        <v>129</v>
      </c>
      <c r="EY13" s="88">
        <f>IFERROR((VLOOKUP(ER13,Scoring!$D:$E,2,0))+IF(EU13="y",1,0)+IF(EV13="y",1,0)+IF(EW13="y",1,0)+IF(EX13="y",1,0),0)</f>
        <v>0</v>
      </c>
      <c r="EZ13" s="24"/>
      <c r="FA13" s="25"/>
      <c r="FB13" s="25"/>
      <c r="FC13" s="26" t="s">
        <v>129</v>
      </c>
      <c r="FD13" s="27" t="s">
        <v>129</v>
      </c>
      <c r="FE13" s="28" t="s">
        <v>129</v>
      </c>
      <c r="FF13" s="29" t="s">
        <v>129</v>
      </c>
      <c r="FG13" s="95">
        <f>IFERROR((VLOOKUP(EZ13,Scoring!$A:$B,2,0))+IF(FC13="y",1,0)+IF(FD13="y",1,0)+IF(FE13="y",1,0)+IF(FF13="y",1,0),0)</f>
        <v>0</v>
      </c>
      <c r="FH13" s="13">
        <v>0.0</v>
      </c>
    </row>
    <row r="14">
      <c r="A14" s="33" t="s">
        <v>37</v>
      </c>
      <c r="B14" s="34" t="s">
        <v>269</v>
      </c>
      <c r="C14" s="35" t="s">
        <v>44</v>
      </c>
      <c r="D14" s="36">
        <v>2.0</v>
      </c>
      <c r="E14" s="37">
        <v>4.0</v>
      </c>
      <c r="F14" s="37"/>
      <c r="G14" s="38" t="s">
        <v>129</v>
      </c>
      <c r="H14" s="39" t="s">
        <v>129</v>
      </c>
      <c r="I14" s="40" t="s">
        <v>129</v>
      </c>
      <c r="J14" s="41" t="s">
        <v>130</v>
      </c>
      <c r="K14" s="78">
        <f>IFERROR((VLOOKUP(D14,Scoring!$A:$B,2,0))+IF(G14="y",1,0)+IF(H14="y",1,0)+IF(I14="y",1,0)+IF(J14="y",1,0),0)</f>
        <v>19</v>
      </c>
      <c r="L14" s="36">
        <v>5.0</v>
      </c>
      <c r="M14" s="37">
        <v>4.0</v>
      </c>
      <c r="N14" s="37"/>
      <c r="O14" s="38" t="s">
        <v>129</v>
      </c>
      <c r="P14" s="39" t="s">
        <v>129</v>
      </c>
      <c r="Q14" s="40" t="s">
        <v>129</v>
      </c>
      <c r="R14" s="41" t="s">
        <v>129</v>
      </c>
      <c r="S14" s="78">
        <f>IFERROR((VLOOKUP(L14,Scoring!$A:$B,2,0))+IF(O14="y",1,0)+IF(P14="y",1,0)+IF(Q14="y",1,0)+IF(R14="y",1,0),0)</f>
        <v>10</v>
      </c>
      <c r="T14" s="111">
        <v>1.0</v>
      </c>
      <c r="U14" s="112">
        <v>4.0</v>
      </c>
      <c r="V14" s="113"/>
      <c r="W14" s="114" t="s">
        <v>129</v>
      </c>
      <c r="X14" s="115" t="s">
        <v>129</v>
      </c>
      <c r="Y14" s="116" t="s">
        <v>129</v>
      </c>
      <c r="Z14" s="117" t="s">
        <v>129</v>
      </c>
      <c r="AA14" s="85">
        <f>IFERROR((VLOOKUP(T14,Scoring!$D:$E,2,0))+IF(W14="y",1,0)+IF(X14="y",1,0)+IF(Y14="y",1,0)+IF(Z14="y",1,0),0)</f>
        <v>8</v>
      </c>
      <c r="AB14" s="36">
        <v>5.0</v>
      </c>
      <c r="AC14" s="37">
        <v>10.0</v>
      </c>
      <c r="AD14" s="37"/>
      <c r="AE14" s="38" t="s">
        <v>129</v>
      </c>
      <c r="AF14" s="39" t="s">
        <v>129</v>
      </c>
      <c r="AG14" s="40" t="s">
        <v>129</v>
      </c>
      <c r="AH14" s="41" t="s">
        <v>129</v>
      </c>
      <c r="AI14" s="78">
        <f>IFERROR((VLOOKUP(AB14,Scoring!$A:$B,2,0))+IF(AE14="y",1,0)+IF(AF14="y",1,0)+IF(AG14="y",1,0)+IF(AH14="y",1,0),0)</f>
        <v>10</v>
      </c>
      <c r="AJ14" s="36">
        <v>2.0</v>
      </c>
      <c r="AK14" s="37">
        <v>6.0</v>
      </c>
      <c r="AL14" s="37"/>
      <c r="AM14" s="38" t="s">
        <v>129</v>
      </c>
      <c r="AN14" s="39" t="s">
        <v>129</v>
      </c>
      <c r="AO14" s="40" t="s">
        <v>129</v>
      </c>
      <c r="AP14" s="41" t="s">
        <v>129</v>
      </c>
      <c r="AQ14" s="78">
        <f>IFERROR((VLOOKUP(AJ14,Scoring!$A:$B,2,0))+IF(AM14="y",1,0)+IF(AN14="y",1,0)+IF(AO14="y",1,0)+IF(AP14="y",1,0),0)</f>
        <v>18</v>
      </c>
      <c r="AR14" s="111">
        <v>3.0</v>
      </c>
      <c r="AS14" s="112">
        <v>24.0</v>
      </c>
      <c r="AT14" s="112">
        <v>11.0</v>
      </c>
      <c r="AU14" s="114" t="s">
        <v>129</v>
      </c>
      <c r="AV14" s="115" t="s">
        <v>129</v>
      </c>
      <c r="AW14" s="116" t="s">
        <v>129</v>
      </c>
      <c r="AX14" s="117" t="s">
        <v>129</v>
      </c>
      <c r="AY14" s="85">
        <f>IFERROR((VLOOKUP(AR14,Scoring!$D:$E,2,0))+IF(AU14="y",1,0)+IF(AV14="y",1,0)+IF(AW14="y",1,0)+IF(AX14="y",1,0),0)</f>
        <v>6</v>
      </c>
      <c r="AZ14" s="36">
        <v>6.0</v>
      </c>
      <c r="BA14" s="37">
        <v>7.0</v>
      </c>
      <c r="BB14" s="37"/>
      <c r="BC14" s="38" t="s">
        <v>129</v>
      </c>
      <c r="BD14" s="39" t="s">
        <v>129</v>
      </c>
      <c r="BE14" s="40" t="s">
        <v>129</v>
      </c>
      <c r="BF14" s="41" t="s">
        <v>129</v>
      </c>
      <c r="BG14" s="78">
        <f>IFERROR((VLOOKUP(AZ14,Scoring!$A:$B,2,0))+IF(BC14="y",1,0)+IF(BD14="y",1,0)+IF(BE14="y",1,0)+IF(BF14="y",1,0),0)</f>
        <v>8</v>
      </c>
      <c r="BH14" s="36"/>
      <c r="BI14" s="37"/>
      <c r="BJ14" s="37"/>
      <c r="BK14" s="38" t="s">
        <v>129</v>
      </c>
      <c r="BL14" s="39" t="s">
        <v>129</v>
      </c>
      <c r="BM14" s="40" t="s">
        <v>129</v>
      </c>
      <c r="BN14" s="41" t="s">
        <v>129</v>
      </c>
      <c r="BO14" s="78">
        <f>IFERROR((VLOOKUP(BH14,Scoring!$A:$B,2,0))+IF(BK14="y",1,0)+IF(BL14="y",1,0)+IF(BM14="y",1,0)+IF(BN14="y",1,0),0)</f>
        <v>0</v>
      </c>
      <c r="BP14" s="118"/>
      <c r="BQ14" s="113"/>
      <c r="BR14" s="113"/>
      <c r="BS14" s="114" t="s">
        <v>129</v>
      </c>
      <c r="BT14" s="115" t="s">
        <v>129</v>
      </c>
      <c r="BU14" s="116" t="s">
        <v>129</v>
      </c>
      <c r="BV14" s="117" t="s">
        <v>129</v>
      </c>
      <c r="BW14" s="85">
        <f>IFERROR((VLOOKUP(BP14,Scoring!$D:$E,2,0))+IF(BS14="y",1,0)+IF(BT14="y",1,0)+IF(BU14="y",1,0)+IF(BV14="y",1,0),0)</f>
        <v>0</v>
      </c>
      <c r="BX14" s="36"/>
      <c r="BY14" s="37"/>
      <c r="BZ14" s="37"/>
      <c r="CA14" s="38" t="s">
        <v>129</v>
      </c>
      <c r="CB14" s="39" t="s">
        <v>129</v>
      </c>
      <c r="CC14" s="40" t="s">
        <v>129</v>
      </c>
      <c r="CD14" s="41" t="s">
        <v>129</v>
      </c>
      <c r="CE14" s="78">
        <f>IFERROR((VLOOKUP(BX14,Scoring!$A:$B,2,0))+IF(CA14="y",1,0)+IF(CB14="y",1,0)+IF(CC14="y",1,0)+IF(CD14="y",1,0),0)</f>
        <v>0</v>
      </c>
      <c r="CF14" s="36"/>
      <c r="CG14" s="37"/>
      <c r="CH14" s="37"/>
      <c r="CI14" s="38" t="s">
        <v>129</v>
      </c>
      <c r="CJ14" s="39" t="s">
        <v>129</v>
      </c>
      <c r="CK14" s="40" t="s">
        <v>129</v>
      </c>
      <c r="CL14" s="41" t="s">
        <v>129</v>
      </c>
      <c r="CM14" s="78">
        <f>IFERROR((VLOOKUP(CF14,Scoring!$A:$B,2,0))+IF(CI14="y",1,0)+IF(CJ14="y",1,0)+IF(CK14="y",1,0)+IF(CL14="y",1,0),0)</f>
        <v>0</v>
      </c>
      <c r="CN14" s="36"/>
      <c r="CO14" s="37"/>
      <c r="CP14" s="37"/>
      <c r="CQ14" s="38" t="s">
        <v>129</v>
      </c>
      <c r="CR14" s="39" t="s">
        <v>129</v>
      </c>
      <c r="CS14" s="40" t="s">
        <v>129</v>
      </c>
      <c r="CT14" s="41" t="s">
        <v>129</v>
      </c>
      <c r="CU14" s="78">
        <f>IFERROR((VLOOKUP(CN14,Scoring!$A:$B,2,0))+IF(CQ14="y",1,0)+IF(CR14="y",1,0)+IF(CS14="y",1,0)+IF(CT14="y",1,0),0)</f>
        <v>0</v>
      </c>
      <c r="CV14" s="118"/>
      <c r="CW14" s="113"/>
      <c r="CX14" s="113"/>
      <c r="CY14" s="114" t="s">
        <v>129</v>
      </c>
      <c r="CZ14" s="115" t="s">
        <v>129</v>
      </c>
      <c r="DA14" s="116" t="s">
        <v>129</v>
      </c>
      <c r="DB14" s="117" t="s">
        <v>129</v>
      </c>
      <c r="DC14" s="85">
        <f>IFERROR((VLOOKUP(CV14,Scoring!$D:$E,2,0))+IF(CY14="y",1,0)+IF(CZ14="y",1,0)+IF(DA14="y",1,0)+IF(DB14="y",1,0),0)</f>
        <v>0</v>
      </c>
      <c r="DD14" s="36"/>
      <c r="DE14" s="37"/>
      <c r="DF14" s="37"/>
      <c r="DG14" s="38" t="s">
        <v>129</v>
      </c>
      <c r="DH14" s="39" t="s">
        <v>129</v>
      </c>
      <c r="DI14" s="40" t="s">
        <v>129</v>
      </c>
      <c r="DJ14" s="41" t="s">
        <v>129</v>
      </c>
      <c r="DK14" s="78">
        <f>IFERROR((VLOOKUP(DD14,Scoring!$A:$B,2,0))+IF(DG14="y",1,0)+IF(DH14="y",1,0)+IF(DI14="y",1,0)+IF(DJ14="y",1,0),0)</f>
        <v>0</v>
      </c>
      <c r="DL14" s="36"/>
      <c r="DM14" s="37"/>
      <c r="DN14" s="37"/>
      <c r="DO14" s="38" t="s">
        <v>129</v>
      </c>
      <c r="DP14" s="39" t="s">
        <v>129</v>
      </c>
      <c r="DQ14" s="40" t="s">
        <v>129</v>
      </c>
      <c r="DR14" s="41" t="s">
        <v>129</v>
      </c>
      <c r="DS14" s="78">
        <f>IFERROR((VLOOKUP(DL14,Scoring!$A:$B,2,0))+IF(DO14="y",1,0)+IF(DP14="y",1,0)+IF(DQ14="y",1,0)+IF(DR14="y",1,0),0)</f>
        <v>0</v>
      </c>
      <c r="DT14" s="118"/>
      <c r="DU14" s="113"/>
      <c r="DV14" s="113"/>
      <c r="DW14" s="114" t="s">
        <v>129</v>
      </c>
      <c r="DX14" s="115" t="s">
        <v>129</v>
      </c>
      <c r="DY14" s="116" t="s">
        <v>129</v>
      </c>
      <c r="DZ14" s="117" t="s">
        <v>129</v>
      </c>
      <c r="EA14" s="88">
        <f>IFERROR((VLOOKUP(DT14,Scoring!$D:$E,2,0))+IF(DW14="y",1,0)+IF(DX14="y",1,0)+IF(DY14="y",1,0)+IF(DZ14="y",1,0),0)</f>
        <v>0</v>
      </c>
      <c r="EB14" s="119"/>
      <c r="EC14" s="120"/>
      <c r="ED14" s="120"/>
      <c r="EE14" s="121" t="s">
        <v>129</v>
      </c>
      <c r="EF14" s="122" t="s">
        <v>129</v>
      </c>
      <c r="EG14" s="123" t="s">
        <v>129</v>
      </c>
      <c r="EH14" s="124" t="s">
        <v>129</v>
      </c>
      <c r="EI14" s="88">
        <f>IFERROR((VLOOKUP(EB14,Scoring!$A:$B,2,0))+IF(EE14="y",1,0)+IF(EF14="y",1,0)+IF(EG14="y",1,0)+IF(EH14="y",1,0),0)</f>
        <v>0</v>
      </c>
      <c r="EJ14" s="36"/>
      <c r="EK14" s="37"/>
      <c r="EL14" s="37"/>
      <c r="EM14" s="38" t="s">
        <v>129</v>
      </c>
      <c r="EN14" s="39" t="s">
        <v>129</v>
      </c>
      <c r="EO14" s="40" t="s">
        <v>129</v>
      </c>
      <c r="EP14" s="41" t="s">
        <v>129</v>
      </c>
      <c r="EQ14" s="78">
        <f>IFERROR((VLOOKUP(EJ14,Scoring!$A:$B,2,0))+IF(EM14="y",1,0)+IF(EN14="y",1,0)+IF(EO14="y",1,0)+IF(EP14="y",1,0),0)</f>
        <v>0</v>
      </c>
      <c r="ER14" s="119"/>
      <c r="ES14" s="120"/>
      <c r="ET14" s="120"/>
      <c r="EU14" s="121" t="s">
        <v>129</v>
      </c>
      <c r="EV14" s="122" t="s">
        <v>129</v>
      </c>
      <c r="EW14" s="123" t="s">
        <v>129</v>
      </c>
      <c r="EX14" s="124" t="s">
        <v>129</v>
      </c>
      <c r="EY14" s="88">
        <f>IFERROR((VLOOKUP(ER14,Scoring!$D:$E,2,0))+IF(EU14="y",1,0)+IF(EV14="y",1,0)+IF(EW14="y",1,0)+IF(EX14="y",1,0),0)</f>
        <v>0</v>
      </c>
      <c r="EZ14" s="36"/>
      <c r="FA14" s="37"/>
      <c r="FB14" s="37"/>
      <c r="FC14" s="38" t="s">
        <v>129</v>
      </c>
      <c r="FD14" s="39" t="s">
        <v>129</v>
      </c>
      <c r="FE14" s="40" t="s">
        <v>129</v>
      </c>
      <c r="FF14" s="41" t="s">
        <v>129</v>
      </c>
      <c r="FG14" s="78">
        <f>IFERROR((VLOOKUP(EZ14,Scoring!$A:$B,2,0))+IF(FC14="y",1,0)+IF(FD14="y",1,0)+IF(FE14="y",1,0)+IF(FF14="y",1,0),0)</f>
        <v>0</v>
      </c>
      <c r="FH14" s="13">
        <v>0.0</v>
      </c>
    </row>
    <row r="15">
      <c r="A15" s="45" t="s">
        <v>37</v>
      </c>
      <c r="B15" s="46" t="s">
        <v>40</v>
      </c>
      <c r="C15" s="47" t="s">
        <v>41</v>
      </c>
      <c r="D15" s="48">
        <v>11.0</v>
      </c>
      <c r="E15" s="49">
        <v>7.0</v>
      </c>
      <c r="F15" s="49"/>
      <c r="G15" s="50" t="s">
        <v>129</v>
      </c>
      <c r="H15" s="51" t="s">
        <v>129</v>
      </c>
      <c r="I15" s="52" t="s">
        <v>129</v>
      </c>
      <c r="J15" s="53" t="s">
        <v>129</v>
      </c>
      <c r="K15" s="95">
        <f>IFERROR((VLOOKUP(D15,Scoring!$A:$B,2,0))+IF(G15="y",1,0)+IF(H15="y",1,0)+IF(I15="y",1,0)+IF(J15="y",1,0),0)</f>
        <v>1</v>
      </c>
      <c r="L15" s="48">
        <v>9.0</v>
      </c>
      <c r="M15" s="49">
        <v>6.0</v>
      </c>
      <c r="N15" s="49"/>
      <c r="O15" s="50" t="s">
        <v>129</v>
      </c>
      <c r="P15" s="51" t="s">
        <v>129</v>
      </c>
      <c r="Q15" s="52" t="s">
        <v>129</v>
      </c>
      <c r="R15" s="53" t="s">
        <v>129</v>
      </c>
      <c r="S15" s="95">
        <f>IFERROR((VLOOKUP(L15,Scoring!$A:$B,2,0))+IF(O15="y",1,0)+IF(P15="y",1,0)+IF(Q15="y",1,0)+IF(R15="y",1,0),0)</f>
        <v>3</v>
      </c>
      <c r="T15" s="125">
        <v>23.0</v>
      </c>
      <c r="U15" s="126">
        <v>3.0</v>
      </c>
      <c r="V15" s="127"/>
      <c r="W15" s="128" t="s">
        <v>129</v>
      </c>
      <c r="X15" s="129" t="s">
        <v>129</v>
      </c>
      <c r="Y15" s="130" t="s">
        <v>129</v>
      </c>
      <c r="Z15" s="131" t="s">
        <v>129</v>
      </c>
      <c r="AA15" s="85">
        <f>IFERROR((VLOOKUP(T15,Scoring!$D:$E,2,0))+IF(W15="y",1,0)+IF(X15="y",1,0)+IF(Y15="y",1,0)+IF(Z15="y",1,0),0)</f>
        <v>0</v>
      </c>
      <c r="AB15" s="48">
        <v>7.0</v>
      </c>
      <c r="AC15" s="49">
        <v>12.0</v>
      </c>
      <c r="AD15" s="49"/>
      <c r="AE15" s="50" t="s">
        <v>129</v>
      </c>
      <c r="AF15" s="51" t="s">
        <v>129</v>
      </c>
      <c r="AG15" s="52" t="s">
        <v>129</v>
      </c>
      <c r="AH15" s="53" t="s">
        <v>129</v>
      </c>
      <c r="AI15" s="95">
        <f>IFERROR((VLOOKUP(AB15,Scoring!$A:$B,2,0))+IF(AE15="y",1,0)+IF(AF15="y",1,0)+IF(AG15="y",1,0)+IF(AH15="y",1,0),0)</f>
        <v>6</v>
      </c>
      <c r="AJ15" s="48">
        <v>6.0</v>
      </c>
      <c r="AK15" s="49">
        <v>24.0</v>
      </c>
      <c r="AL15" s="49">
        <v>12.0</v>
      </c>
      <c r="AM15" s="50" t="s">
        <v>129</v>
      </c>
      <c r="AN15" s="51" t="s">
        <v>130</v>
      </c>
      <c r="AO15" s="52" t="s">
        <v>129</v>
      </c>
      <c r="AP15" s="53" t="s">
        <v>129</v>
      </c>
      <c r="AQ15" s="95">
        <f>IFERROR((VLOOKUP(AJ15,Scoring!$A:$B,2,0))+IF(AM15="y",1,0)+IF(AN15="y",1,0)+IF(AO15="y",1,0)+IF(AP15="y",1,0),0)</f>
        <v>9</v>
      </c>
      <c r="AR15" s="125">
        <v>7.0</v>
      </c>
      <c r="AS15" s="126">
        <v>4.0</v>
      </c>
      <c r="AT15" s="127"/>
      <c r="AU15" s="128" t="s">
        <v>129</v>
      </c>
      <c r="AV15" s="129" t="s">
        <v>129</v>
      </c>
      <c r="AW15" s="130" t="s">
        <v>129</v>
      </c>
      <c r="AX15" s="131" t="s">
        <v>129</v>
      </c>
      <c r="AY15" s="85">
        <f>IFERROR((VLOOKUP(AR15,Scoring!$D:$E,2,0))+IF(AU15="y",1,0)+IF(AV15="y",1,0)+IF(AW15="y",1,0)+IF(AX15="y",1,0),0)</f>
        <v>2</v>
      </c>
      <c r="AZ15" s="48">
        <v>1.0</v>
      </c>
      <c r="BA15" s="49">
        <v>4.0</v>
      </c>
      <c r="BB15" s="49"/>
      <c r="BC15" s="50" t="s">
        <v>129</v>
      </c>
      <c r="BD15" s="51" t="s">
        <v>129</v>
      </c>
      <c r="BE15" s="52" t="s">
        <v>129</v>
      </c>
      <c r="BF15" s="53" t="s">
        <v>129</v>
      </c>
      <c r="BG15" s="95">
        <f>IFERROR((VLOOKUP(AZ15,Scoring!$A:$B,2,0))+IF(BC15="y",1,0)+IF(BD15="y",1,0)+IF(BE15="y",1,0)+IF(BF15="y",1,0),0)</f>
        <v>25</v>
      </c>
      <c r="BH15" s="48"/>
      <c r="BI15" s="49"/>
      <c r="BJ15" s="49"/>
      <c r="BK15" s="50" t="s">
        <v>129</v>
      </c>
      <c r="BL15" s="51" t="s">
        <v>129</v>
      </c>
      <c r="BM15" s="52" t="s">
        <v>129</v>
      </c>
      <c r="BN15" s="53" t="s">
        <v>129</v>
      </c>
      <c r="BO15" s="95">
        <f>IFERROR((VLOOKUP(BH15,Scoring!$A:$B,2,0))+IF(BK15="y",1,0)+IF(BL15="y",1,0)+IF(BM15="y",1,0)+IF(BN15="y",1,0),0)</f>
        <v>0</v>
      </c>
      <c r="BP15" s="132"/>
      <c r="BQ15" s="127"/>
      <c r="BR15" s="127"/>
      <c r="BS15" s="128" t="s">
        <v>129</v>
      </c>
      <c r="BT15" s="129" t="s">
        <v>129</v>
      </c>
      <c r="BU15" s="130" t="s">
        <v>129</v>
      </c>
      <c r="BV15" s="131" t="s">
        <v>129</v>
      </c>
      <c r="BW15" s="85">
        <f>IFERROR((VLOOKUP(BP15,Scoring!$D:$E,2,0))+IF(BS15="y",1,0)+IF(BT15="y",1,0)+IF(BU15="y",1,0)+IF(BV15="y",1,0),0)</f>
        <v>0</v>
      </c>
      <c r="BX15" s="48"/>
      <c r="BY15" s="49"/>
      <c r="BZ15" s="49"/>
      <c r="CA15" s="50" t="s">
        <v>129</v>
      </c>
      <c r="CB15" s="51" t="s">
        <v>129</v>
      </c>
      <c r="CC15" s="52" t="s">
        <v>129</v>
      </c>
      <c r="CD15" s="53" t="s">
        <v>129</v>
      </c>
      <c r="CE15" s="95">
        <f>IFERROR((VLOOKUP(BX15,Scoring!$A:$B,2,0))+IF(CA15="y",1,0)+IF(CB15="y",1,0)+IF(CC15="y",1,0)+IF(CD15="y",1,0),0)</f>
        <v>0</v>
      </c>
      <c r="CF15" s="48"/>
      <c r="CG15" s="49"/>
      <c r="CH15" s="49"/>
      <c r="CI15" s="50" t="s">
        <v>129</v>
      </c>
      <c r="CJ15" s="51" t="s">
        <v>129</v>
      </c>
      <c r="CK15" s="52" t="s">
        <v>129</v>
      </c>
      <c r="CL15" s="53" t="s">
        <v>129</v>
      </c>
      <c r="CM15" s="95">
        <f>IFERROR((VLOOKUP(CF15,Scoring!$A:$B,2,0))+IF(CI15="y",1,0)+IF(CJ15="y",1,0)+IF(CK15="y",1,0)+IF(CL15="y",1,0),0)</f>
        <v>0</v>
      </c>
      <c r="CN15" s="48"/>
      <c r="CO15" s="49"/>
      <c r="CP15" s="49"/>
      <c r="CQ15" s="50" t="s">
        <v>129</v>
      </c>
      <c r="CR15" s="51" t="s">
        <v>129</v>
      </c>
      <c r="CS15" s="52" t="s">
        <v>129</v>
      </c>
      <c r="CT15" s="53" t="s">
        <v>129</v>
      </c>
      <c r="CU15" s="95">
        <f>IFERROR((VLOOKUP(CN15,Scoring!$A:$B,2,0))+IF(CQ15="y",1,0)+IF(CR15="y",1,0)+IF(CS15="y",1,0)+IF(CT15="y",1,0),0)</f>
        <v>0</v>
      </c>
      <c r="CV15" s="132"/>
      <c r="CW15" s="127"/>
      <c r="CX15" s="127"/>
      <c r="CY15" s="128" t="s">
        <v>129</v>
      </c>
      <c r="CZ15" s="129" t="s">
        <v>129</v>
      </c>
      <c r="DA15" s="130" t="s">
        <v>129</v>
      </c>
      <c r="DB15" s="131" t="s">
        <v>129</v>
      </c>
      <c r="DC15" s="85">
        <f>IFERROR((VLOOKUP(CV15,Scoring!$D:$E,2,0))+IF(CY15="y",1,0)+IF(CZ15="y",1,0)+IF(DA15="y",1,0)+IF(DB15="y",1,0),0)</f>
        <v>0</v>
      </c>
      <c r="DD15" s="48"/>
      <c r="DE15" s="49"/>
      <c r="DF15" s="49"/>
      <c r="DG15" s="50" t="s">
        <v>129</v>
      </c>
      <c r="DH15" s="51" t="s">
        <v>129</v>
      </c>
      <c r="DI15" s="52" t="s">
        <v>129</v>
      </c>
      <c r="DJ15" s="53" t="s">
        <v>129</v>
      </c>
      <c r="DK15" s="95">
        <f>IFERROR((VLOOKUP(DD15,Scoring!$A:$B,2,0))+IF(DG15="y",1,0)+IF(DH15="y",1,0)+IF(DI15="y",1,0)+IF(DJ15="y",1,0),0)</f>
        <v>0</v>
      </c>
      <c r="DL15" s="48"/>
      <c r="DM15" s="49"/>
      <c r="DN15" s="49"/>
      <c r="DO15" s="50" t="s">
        <v>129</v>
      </c>
      <c r="DP15" s="51" t="s">
        <v>129</v>
      </c>
      <c r="DQ15" s="52" t="s">
        <v>129</v>
      </c>
      <c r="DR15" s="53" t="s">
        <v>129</v>
      </c>
      <c r="DS15" s="95">
        <f>IFERROR((VLOOKUP(DL15,Scoring!$A:$B,2,0))+IF(DO15="y",1,0)+IF(DP15="y",1,0)+IF(DQ15="y",1,0)+IF(DR15="y",1,0),0)</f>
        <v>0</v>
      </c>
      <c r="DT15" s="132"/>
      <c r="DU15" s="127"/>
      <c r="DV15" s="127"/>
      <c r="DW15" s="128" t="s">
        <v>129</v>
      </c>
      <c r="DX15" s="129" t="s">
        <v>129</v>
      </c>
      <c r="DY15" s="130" t="s">
        <v>129</v>
      </c>
      <c r="DZ15" s="131" t="s">
        <v>129</v>
      </c>
      <c r="EA15" s="88">
        <f>IFERROR((VLOOKUP(DT15,Scoring!$D:$E,2,0))+IF(DW15="y",1,0)+IF(DX15="y",1,0)+IF(DY15="y",1,0)+IF(DZ15="y",1,0),0)</f>
        <v>0</v>
      </c>
      <c r="EB15" s="133"/>
      <c r="EC15" s="134"/>
      <c r="ED15" s="134"/>
      <c r="EE15" s="135" t="s">
        <v>129</v>
      </c>
      <c r="EF15" s="136" t="s">
        <v>129</v>
      </c>
      <c r="EG15" s="137" t="s">
        <v>129</v>
      </c>
      <c r="EH15" s="138" t="s">
        <v>129</v>
      </c>
      <c r="EI15" s="110">
        <f>IFERROR((VLOOKUP(EB15,Scoring!$A:$B,2,0))+IF(EE15="y",1,0)+IF(EF15="y",1,0)+IF(EG15="y",1,0)+IF(EH15="y",1,0),0)</f>
        <v>0</v>
      </c>
      <c r="EJ15" s="48"/>
      <c r="EK15" s="49"/>
      <c r="EL15" s="49"/>
      <c r="EM15" s="50" t="s">
        <v>129</v>
      </c>
      <c r="EN15" s="51" t="s">
        <v>129</v>
      </c>
      <c r="EO15" s="52" t="s">
        <v>129</v>
      </c>
      <c r="EP15" s="53" t="s">
        <v>129</v>
      </c>
      <c r="EQ15" s="95">
        <f>IFERROR((VLOOKUP(EJ15,Scoring!$A:$B,2,0))+IF(EM15="y",1,0)+IF(EN15="y",1,0)+IF(EO15="y",1,0)+IF(EP15="y",1,0),0)</f>
        <v>0</v>
      </c>
      <c r="ER15" s="133"/>
      <c r="ES15" s="134"/>
      <c r="ET15" s="134"/>
      <c r="EU15" s="135" t="s">
        <v>129</v>
      </c>
      <c r="EV15" s="136" t="s">
        <v>129</v>
      </c>
      <c r="EW15" s="137" t="s">
        <v>129</v>
      </c>
      <c r="EX15" s="138" t="s">
        <v>129</v>
      </c>
      <c r="EY15" s="88">
        <f>IFERROR((VLOOKUP(ER15,Scoring!$D:$E,2,0))+IF(EU15="y",1,0)+IF(EV15="y",1,0)+IF(EW15="y",1,0)+IF(EX15="y",1,0),0)</f>
        <v>0</v>
      </c>
      <c r="EZ15" s="48"/>
      <c r="FA15" s="49"/>
      <c r="FB15" s="49"/>
      <c r="FC15" s="50" t="s">
        <v>129</v>
      </c>
      <c r="FD15" s="51" t="s">
        <v>129</v>
      </c>
      <c r="FE15" s="52" t="s">
        <v>129</v>
      </c>
      <c r="FF15" s="53" t="s">
        <v>129</v>
      </c>
      <c r="FG15" s="95">
        <f>IFERROR((VLOOKUP(EZ15,Scoring!$A:$B,2,0))+IF(FC15="y",1,0)+IF(FD15="y",1,0)+IF(FE15="y",1,0)+IF(FF15="y",1,0),0)</f>
        <v>0</v>
      </c>
      <c r="FH15" s="13">
        <v>0.0</v>
      </c>
    </row>
    <row r="16">
      <c r="A16" s="14" t="s">
        <v>42</v>
      </c>
      <c r="B16" s="1" t="s">
        <v>45</v>
      </c>
      <c r="C16" s="15" t="s">
        <v>377</v>
      </c>
      <c r="D16" s="24">
        <v>3.0</v>
      </c>
      <c r="E16" s="25">
        <v>2.0</v>
      </c>
      <c r="F16" s="25"/>
      <c r="G16" s="26" t="s">
        <v>129</v>
      </c>
      <c r="H16" s="27" t="s">
        <v>129</v>
      </c>
      <c r="I16" s="28" t="s">
        <v>129</v>
      </c>
      <c r="J16" s="29" t="s">
        <v>129</v>
      </c>
      <c r="K16" s="78">
        <f>IFERROR((VLOOKUP(D16,Scoring!$A:$B,2,0))+IF(G16="y",1,0)+IF(H16="y",1,0)+IF(I16="y",1,0)+IF(J16="y",1,0),0)</f>
        <v>15</v>
      </c>
      <c r="L16" s="24">
        <v>4.0</v>
      </c>
      <c r="M16" s="25">
        <v>2.0</v>
      </c>
      <c r="N16" s="25"/>
      <c r="O16" s="26" t="s">
        <v>129</v>
      </c>
      <c r="P16" s="27" t="s">
        <v>129</v>
      </c>
      <c r="Q16" s="28" t="s">
        <v>129</v>
      </c>
      <c r="R16" s="29" t="s">
        <v>129</v>
      </c>
      <c r="S16" s="78">
        <f>IFERROR((VLOOKUP(L16,Scoring!$A:$B,2,0))+IF(O16="y",1,0)+IF(P16="y",1,0)+IF(Q16="y",1,0)+IF(R16="y",1,0),0)</f>
        <v>12</v>
      </c>
      <c r="T16" s="96">
        <v>5.0</v>
      </c>
      <c r="U16" s="97">
        <v>11.0</v>
      </c>
      <c r="V16" s="98"/>
      <c r="W16" s="99" t="s">
        <v>129</v>
      </c>
      <c r="X16" s="100" t="s">
        <v>129</v>
      </c>
      <c r="Y16" s="101" t="s">
        <v>129</v>
      </c>
      <c r="Z16" s="102" t="s">
        <v>129</v>
      </c>
      <c r="AA16" s="85">
        <f>IFERROR((VLOOKUP(T16,Scoring!$D:$E,2,0))+IF(W16="y",1,0)+IF(X16="y",1,0)+IF(Y16="y",1,0)+IF(Z16="y",1,0),0)</f>
        <v>4</v>
      </c>
      <c r="AB16" s="24">
        <v>1.0</v>
      </c>
      <c r="AC16" s="25">
        <v>6.0</v>
      </c>
      <c r="AD16" s="25"/>
      <c r="AE16" s="26" t="s">
        <v>129</v>
      </c>
      <c r="AF16" s="27" t="s">
        <v>129</v>
      </c>
      <c r="AG16" s="28" t="s">
        <v>129</v>
      </c>
      <c r="AH16" s="29" t="s">
        <v>129</v>
      </c>
      <c r="AI16" s="78">
        <f>IFERROR((VLOOKUP(AB16,Scoring!$A:$B,2,0))+IF(AE16="y",1,0)+IF(AF16="y",1,0)+IF(AG16="y",1,0)+IF(AH16="y",1,0),0)</f>
        <v>25</v>
      </c>
      <c r="AJ16" s="24">
        <v>7.0</v>
      </c>
      <c r="AK16" s="25">
        <v>4.0</v>
      </c>
      <c r="AL16" s="25"/>
      <c r="AM16" s="26" t="s">
        <v>129</v>
      </c>
      <c r="AN16" s="27" t="s">
        <v>129</v>
      </c>
      <c r="AO16" s="28" t="s">
        <v>129</v>
      </c>
      <c r="AP16" s="29" t="s">
        <v>129</v>
      </c>
      <c r="AQ16" s="78">
        <f>IFERROR((VLOOKUP(AJ16,Scoring!$A:$B,2,0))+IF(AM16="y",1,0)+IF(AN16="y",1,0)+IF(AO16="y",1,0)+IF(AP16="y",1,0),0)</f>
        <v>6</v>
      </c>
      <c r="AR16" s="96">
        <v>25.0</v>
      </c>
      <c r="AS16" s="97">
        <v>24.0</v>
      </c>
      <c r="AT16" s="97">
        <v>12.0</v>
      </c>
      <c r="AU16" s="99" t="s">
        <v>129</v>
      </c>
      <c r="AV16" s="100" t="s">
        <v>129</v>
      </c>
      <c r="AW16" s="101" t="s">
        <v>129</v>
      </c>
      <c r="AX16" s="102" t="s">
        <v>129</v>
      </c>
      <c r="AY16" s="85">
        <f>IFERROR((VLOOKUP(AR16,Scoring!$D:$E,2,0))+IF(AU16="y",1,0)+IF(AV16="y",1,0)+IF(AW16="y",1,0)+IF(AX16="y",1,0),0)</f>
        <v>0</v>
      </c>
      <c r="AZ16" s="24">
        <v>7.0</v>
      </c>
      <c r="BA16" s="25">
        <v>11.0</v>
      </c>
      <c r="BB16" s="25"/>
      <c r="BC16" s="26" t="s">
        <v>129</v>
      </c>
      <c r="BD16" s="27" t="s">
        <v>130</v>
      </c>
      <c r="BE16" s="28" t="s">
        <v>129</v>
      </c>
      <c r="BF16" s="29" t="s">
        <v>129</v>
      </c>
      <c r="BG16" s="78">
        <f>IFERROR((VLOOKUP(AZ16,Scoring!$A:$B,2,0))+IF(BC16="y",1,0)+IF(BD16="y",1,0)+IF(BE16="y",1,0)+IF(BF16="y",1,0),0)</f>
        <v>7</v>
      </c>
      <c r="BH16" s="24"/>
      <c r="BI16" s="25"/>
      <c r="BJ16" s="25"/>
      <c r="BK16" s="26" t="s">
        <v>129</v>
      </c>
      <c r="BL16" s="27" t="s">
        <v>129</v>
      </c>
      <c r="BM16" s="28" t="s">
        <v>129</v>
      </c>
      <c r="BN16" s="29" t="s">
        <v>129</v>
      </c>
      <c r="BO16" s="78">
        <f>IFERROR((VLOOKUP(BH16,Scoring!$A:$B,2,0))+IF(BK16="y",1,0)+IF(BL16="y",1,0)+IF(BM16="y",1,0)+IF(BN16="y",1,0),0)</f>
        <v>0</v>
      </c>
      <c r="BP16" s="103"/>
      <c r="BQ16" s="98"/>
      <c r="BR16" s="98"/>
      <c r="BS16" s="99" t="s">
        <v>129</v>
      </c>
      <c r="BT16" s="100" t="s">
        <v>129</v>
      </c>
      <c r="BU16" s="101" t="s">
        <v>129</v>
      </c>
      <c r="BV16" s="102" t="s">
        <v>129</v>
      </c>
      <c r="BW16" s="85">
        <f>IFERROR((VLOOKUP(BP16,Scoring!$D:$E,2,0))+IF(BS16="y",1,0)+IF(BT16="y",1,0)+IF(BU16="y",1,0)+IF(BV16="y",1,0),0)</f>
        <v>0</v>
      </c>
      <c r="BX16" s="24"/>
      <c r="BY16" s="25"/>
      <c r="BZ16" s="25"/>
      <c r="CA16" s="26" t="s">
        <v>129</v>
      </c>
      <c r="CB16" s="27" t="s">
        <v>129</v>
      </c>
      <c r="CC16" s="28" t="s">
        <v>129</v>
      </c>
      <c r="CD16" s="29" t="s">
        <v>129</v>
      </c>
      <c r="CE16" s="78">
        <f>IFERROR((VLOOKUP(BX16,Scoring!$A:$B,2,0))+IF(CA16="y",1,0)+IF(CB16="y",1,0)+IF(CC16="y",1,0)+IF(CD16="y",1,0),0)</f>
        <v>0</v>
      </c>
      <c r="CF16" s="24"/>
      <c r="CG16" s="25"/>
      <c r="CH16" s="25"/>
      <c r="CI16" s="26" t="s">
        <v>129</v>
      </c>
      <c r="CJ16" s="27" t="s">
        <v>129</v>
      </c>
      <c r="CK16" s="28" t="s">
        <v>129</v>
      </c>
      <c r="CL16" s="29" t="s">
        <v>129</v>
      </c>
      <c r="CM16" s="78">
        <f>IFERROR((VLOOKUP(CF16,Scoring!$A:$B,2,0))+IF(CI16="y",1,0)+IF(CJ16="y",1,0)+IF(CK16="y",1,0)+IF(CL16="y",1,0),0)</f>
        <v>0</v>
      </c>
      <c r="CN16" s="24"/>
      <c r="CO16" s="25"/>
      <c r="CP16" s="25"/>
      <c r="CQ16" s="26" t="s">
        <v>129</v>
      </c>
      <c r="CR16" s="27" t="s">
        <v>129</v>
      </c>
      <c r="CS16" s="28" t="s">
        <v>129</v>
      </c>
      <c r="CT16" s="29" t="s">
        <v>129</v>
      </c>
      <c r="CU16" s="78">
        <f>IFERROR((VLOOKUP(CN16,Scoring!$A:$B,2,0))+IF(CQ16="y",1,0)+IF(CR16="y",1,0)+IF(CS16="y",1,0)+IF(CT16="y",1,0),0)</f>
        <v>0</v>
      </c>
      <c r="CV16" s="103"/>
      <c r="CW16" s="98"/>
      <c r="CX16" s="98"/>
      <c r="CY16" s="99" t="s">
        <v>129</v>
      </c>
      <c r="CZ16" s="100" t="s">
        <v>129</v>
      </c>
      <c r="DA16" s="101" t="s">
        <v>129</v>
      </c>
      <c r="DB16" s="102" t="s">
        <v>129</v>
      </c>
      <c r="DC16" s="85">
        <f>IFERROR((VLOOKUP(CV16,Scoring!$D:$E,2,0))+IF(CY16="y",1,0)+IF(CZ16="y",1,0)+IF(DA16="y",1,0)+IF(DB16="y",1,0),0)</f>
        <v>0</v>
      </c>
      <c r="DD16" s="24"/>
      <c r="DE16" s="25"/>
      <c r="DF16" s="25"/>
      <c r="DG16" s="26" t="s">
        <v>129</v>
      </c>
      <c r="DH16" s="27" t="s">
        <v>129</v>
      </c>
      <c r="DI16" s="28" t="s">
        <v>129</v>
      </c>
      <c r="DJ16" s="29" t="s">
        <v>129</v>
      </c>
      <c r="DK16" s="78">
        <f>IFERROR((VLOOKUP(DD16,Scoring!$A:$B,2,0))+IF(DG16="y",1,0)+IF(DH16="y",1,0)+IF(DI16="y",1,0)+IF(DJ16="y",1,0),0)</f>
        <v>0</v>
      </c>
      <c r="DL16" s="24"/>
      <c r="DM16" s="25"/>
      <c r="DN16" s="25"/>
      <c r="DO16" s="26" t="s">
        <v>129</v>
      </c>
      <c r="DP16" s="27" t="s">
        <v>129</v>
      </c>
      <c r="DQ16" s="28" t="s">
        <v>129</v>
      </c>
      <c r="DR16" s="29" t="s">
        <v>129</v>
      </c>
      <c r="DS16" s="78">
        <f>IFERROR((VLOOKUP(DL16,Scoring!$A:$B,2,0))+IF(DO16="y",1,0)+IF(DP16="y",1,0)+IF(DQ16="y",1,0)+IF(DR16="y",1,0),0)</f>
        <v>0</v>
      </c>
      <c r="DT16" s="103"/>
      <c r="DU16" s="98"/>
      <c r="DV16" s="98"/>
      <c r="DW16" s="99" t="s">
        <v>129</v>
      </c>
      <c r="DX16" s="100" t="s">
        <v>129</v>
      </c>
      <c r="DY16" s="101" t="s">
        <v>129</v>
      </c>
      <c r="DZ16" s="102" t="s">
        <v>129</v>
      </c>
      <c r="EA16" s="88">
        <f>IFERROR((VLOOKUP(DT16,Scoring!$D:$E,2,0))+IF(DW16="y",1,0)+IF(DX16="y",1,0)+IF(DY16="y",1,0)+IF(DZ16="y",1,0),0)</f>
        <v>0</v>
      </c>
      <c r="EB16" s="104"/>
      <c r="EC16" s="105"/>
      <c r="ED16" s="105"/>
      <c r="EE16" s="106" t="s">
        <v>129</v>
      </c>
      <c r="EF16" s="107" t="s">
        <v>129</v>
      </c>
      <c r="EG16" s="108" t="s">
        <v>129</v>
      </c>
      <c r="EH16" s="109" t="s">
        <v>129</v>
      </c>
      <c r="EI16" s="88">
        <f>IFERROR((VLOOKUP(EB16,Scoring!$A:$B,2,0))+IF(EE16="y",1,0)+IF(EF16="y",1,0)+IF(EG16="y",1,0)+IF(EH16="y",1,0),0)</f>
        <v>0</v>
      </c>
      <c r="EJ16" s="24"/>
      <c r="EK16" s="25"/>
      <c r="EL16" s="25"/>
      <c r="EM16" s="26" t="s">
        <v>129</v>
      </c>
      <c r="EN16" s="27" t="s">
        <v>129</v>
      </c>
      <c r="EO16" s="28" t="s">
        <v>129</v>
      </c>
      <c r="EP16" s="29" t="s">
        <v>129</v>
      </c>
      <c r="EQ16" s="78">
        <f>IFERROR((VLOOKUP(EJ16,Scoring!$A:$B,2,0))+IF(EM16="y",1,0)+IF(EN16="y",1,0)+IF(EO16="y",1,0)+IF(EP16="y",1,0),0)</f>
        <v>0</v>
      </c>
      <c r="ER16" s="104"/>
      <c r="ES16" s="105"/>
      <c r="ET16" s="105"/>
      <c r="EU16" s="106" t="s">
        <v>129</v>
      </c>
      <c r="EV16" s="107" t="s">
        <v>129</v>
      </c>
      <c r="EW16" s="108" t="s">
        <v>129</v>
      </c>
      <c r="EX16" s="109" t="s">
        <v>129</v>
      </c>
      <c r="EY16" s="88">
        <f>IFERROR((VLOOKUP(ER16,Scoring!$D:$E,2,0))+IF(EU16="y",1,0)+IF(EV16="y",1,0)+IF(EW16="y",1,0)+IF(EX16="y",1,0),0)</f>
        <v>0</v>
      </c>
      <c r="EZ16" s="24"/>
      <c r="FA16" s="25"/>
      <c r="FB16" s="25"/>
      <c r="FC16" s="26" t="s">
        <v>129</v>
      </c>
      <c r="FD16" s="27" t="s">
        <v>129</v>
      </c>
      <c r="FE16" s="28" t="s">
        <v>129</v>
      </c>
      <c r="FF16" s="29" t="s">
        <v>129</v>
      </c>
      <c r="FG16" s="78">
        <f>IFERROR((VLOOKUP(EZ16,Scoring!$A:$B,2,0))+IF(FC16="y",1,0)+IF(FD16="y",1,0)+IF(FE16="y",1,0)+IF(FF16="y",1,0),0)</f>
        <v>0</v>
      </c>
      <c r="FH16" s="13">
        <v>0.0</v>
      </c>
    </row>
    <row r="17">
      <c r="A17" s="57" t="s">
        <v>42</v>
      </c>
      <c r="B17" s="58" t="s">
        <v>378</v>
      </c>
      <c r="C17" s="59" t="s">
        <v>379</v>
      </c>
      <c r="D17" s="60">
        <v>9.0</v>
      </c>
      <c r="E17" s="61">
        <v>24.0</v>
      </c>
      <c r="F17" s="61">
        <v>15.0</v>
      </c>
      <c r="G17" s="62" t="s">
        <v>129</v>
      </c>
      <c r="H17" s="63" t="s">
        <v>130</v>
      </c>
      <c r="I17" s="64" t="s">
        <v>130</v>
      </c>
      <c r="J17" s="65" t="s">
        <v>129</v>
      </c>
      <c r="K17" s="139">
        <f>IFERROR((VLOOKUP(D17,Scoring!$A:$B,2,0))+IF(G17="y",1,0)+IF(H17="y",1,0)+IF(I17="y",1,0)+IF(J17="y",1,0),0)</f>
        <v>5</v>
      </c>
      <c r="L17" s="60">
        <v>24.0</v>
      </c>
      <c r="M17" s="61">
        <v>24.0</v>
      </c>
      <c r="N17" s="61"/>
      <c r="O17" s="62" t="s">
        <v>129</v>
      </c>
      <c r="P17" s="63" t="s">
        <v>129</v>
      </c>
      <c r="Q17" s="64" t="s">
        <v>129</v>
      </c>
      <c r="R17" s="65" t="s">
        <v>129</v>
      </c>
      <c r="S17" s="139">
        <f>IFERROR((VLOOKUP(L17,Scoring!$A:$B,2,0))+IF(O17="y",1,0)+IF(P17="y",1,0)+IF(Q17="y",1,0)+IF(R17="y",1,0),0)</f>
        <v>0</v>
      </c>
      <c r="T17" s="140">
        <v>8.0</v>
      </c>
      <c r="U17" s="141">
        <v>8.0</v>
      </c>
      <c r="V17" s="142"/>
      <c r="W17" s="143" t="s">
        <v>129</v>
      </c>
      <c r="X17" s="144" t="s">
        <v>129</v>
      </c>
      <c r="Y17" s="145" t="s">
        <v>129</v>
      </c>
      <c r="Z17" s="146" t="s">
        <v>129</v>
      </c>
      <c r="AA17" s="85">
        <f>IFERROR((VLOOKUP(T17,Scoring!$D:$E,2,0))+IF(W17="y",1,0)+IF(X17="y",1,0)+IF(Y17="y",1,0)+IF(Z17="y",1,0),0)</f>
        <v>1</v>
      </c>
      <c r="AB17" s="60">
        <v>9.0</v>
      </c>
      <c r="AC17" s="61">
        <v>3.0</v>
      </c>
      <c r="AD17" s="61"/>
      <c r="AE17" s="62" t="s">
        <v>129</v>
      </c>
      <c r="AF17" s="63" t="s">
        <v>129</v>
      </c>
      <c r="AG17" s="64" t="s">
        <v>129</v>
      </c>
      <c r="AH17" s="65" t="s">
        <v>129</v>
      </c>
      <c r="AI17" s="139">
        <f>IFERROR((VLOOKUP(AB17,Scoring!$A:$B,2,0))+IF(AE17="y",1,0)+IF(AF17="y",1,0)+IF(AG17="y",1,0)+IF(AH17="y",1,0),0)</f>
        <v>3</v>
      </c>
      <c r="AJ17" s="60">
        <v>23.0</v>
      </c>
      <c r="AK17" s="61">
        <v>9.0</v>
      </c>
      <c r="AL17" s="61"/>
      <c r="AM17" s="62" t="s">
        <v>129</v>
      </c>
      <c r="AN17" s="63" t="s">
        <v>129</v>
      </c>
      <c r="AO17" s="64" t="s">
        <v>129</v>
      </c>
      <c r="AP17" s="65" t="s">
        <v>129</v>
      </c>
      <c r="AQ17" s="139">
        <f>IFERROR((VLOOKUP(AJ17,Scoring!$A:$B,2,0))+IF(AM17="y",1,0)+IF(AN17="y",1,0)+IF(AO17="y",1,0)+IF(AP17="y",1,0),0)</f>
        <v>0</v>
      </c>
      <c r="AR17" s="140">
        <v>24.0</v>
      </c>
      <c r="AS17" s="141">
        <v>24.0</v>
      </c>
      <c r="AT17" s="142"/>
      <c r="AU17" s="143" t="s">
        <v>129</v>
      </c>
      <c r="AV17" s="144" t="s">
        <v>129</v>
      </c>
      <c r="AW17" s="145" t="s">
        <v>129</v>
      </c>
      <c r="AX17" s="146" t="s">
        <v>129</v>
      </c>
      <c r="AY17" s="85">
        <f>IFERROR((VLOOKUP(AR17,Scoring!$D:$E,2,0))+IF(AU17="y",1,0)+IF(AV17="y",1,0)+IF(AW17="y",1,0)+IF(AX17="y",1,0),0)</f>
        <v>0</v>
      </c>
      <c r="AZ17" s="60">
        <v>24.0</v>
      </c>
      <c r="BA17" s="61">
        <v>24.0</v>
      </c>
      <c r="BB17" s="61"/>
      <c r="BC17" s="62" t="s">
        <v>129</v>
      </c>
      <c r="BD17" s="63" t="s">
        <v>129</v>
      </c>
      <c r="BE17" s="64" t="s">
        <v>129</v>
      </c>
      <c r="BF17" s="65" t="s">
        <v>129</v>
      </c>
      <c r="BG17" s="139">
        <f>IFERROR((VLOOKUP(AZ17,Scoring!$A:$B,2,0))+IF(BC17="y",1,0)+IF(BD17="y",1,0)+IF(BE17="y",1,0)+IF(BF17="y",1,0),0)</f>
        <v>0</v>
      </c>
      <c r="BH17" s="60"/>
      <c r="BI17" s="61"/>
      <c r="BJ17" s="61"/>
      <c r="BK17" s="62" t="s">
        <v>129</v>
      </c>
      <c r="BL17" s="63" t="s">
        <v>129</v>
      </c>
      <c r="BM17" s="64" t="s">
        <v>129</v>
      </c>
      <c r="BN17" s="65" t="s">
        <v>129</v>
      </c>
      <c r="BO17" s="139">
        <f>IFERROR((VLOOKUP(BH17,Scoring!$A:$B,2,0))+IF(BK17="y",1,0)+IF(BL17="y",1,0)+IF(BM17="y",1,0)+IF(BN17="y",1,0),0)</f>
        <v>0</v>
      </c>
      <c r="BP17" s="147"/>
      <c r="BQ17" s="142"/>
      <c r="BR17" s="142"/>
      <c r="BS17" s="143" t="s">
        <v>129</v>
      </c>
      <c r="BT17" s="144" t="s">
        <v>129</v>
      </c>
      <c r="BU17" s="145" t="s">
        <v>129</v>
      </c>
      <c r="BV17" s="146" t="s">
        <v>129</v>
      </c>
      <c r="BW17" s="85">
        <f>IFERROR((VLOOKUP(BP17,Scoring!$D:$E,2,0))+IF(BS17="y",1,0)+IF(BT17="y",1,0)+IF(BU17="y",1,0)+IF(BV17="y",1,0),0)</f>
        <v>0</v>
      </c>
      <c r="BX17" s="60"/>
      <c r="BY17" s="61"/>
      <c r="BZ17" s="61"/>
      <c r="CA17" s="62" t="s">
        <v>129</v>
      </c>
      <c r="CB17" s="63" t="s">
        <v>129</v>
      </c>
      <c r="CC17" s="64" t="s">
        <v>129</v>
      </c>
      <c r="CD17" s="65" t="s">
        <v>129</v>
      </c>
      <c r="CE17" s="139">
        <f>IFERROR((VLOOKUP(BX17,Scoring!$A:$B,2,0))+IF(CA17="y",1,0)+IF(CB17="y",1,0)+IF(CC17="y",1,0)+IF(CD17="y",1,0),0)</f>
        <v>0</v>
      </c>
      <c r="CF17" s="60"/>
      <c r="CG17" s="61"/>
      <c r="CH17" s="61"/>
      <c r="CI17" s="62" t="s">
        <v>129</v>
      </c>
      <c r="CJ17" s="63" t="s">
        <v>129</v>
      </c>
      <c r="CK17" s="64" t="s">
        <v>129</v>
      </c>
      <c r="CL17" s="65" t="s">
        <v>129</v>
      </c>
      <c r="CM17" s="139">
        <f>IFERROR((VLOOKUP(CF17,Scoring!$A:$B,2,0))+IF(CI17="y",1,0)+IF(CJ17="y",1,0)+IF(CK17="y",1,0)+IF(CL17="y",1,0),0)</f>
        <v>0</v>
      </c>
      <c r="CN17" s="60"/>
      <c r="CO17" s="61"/>
      <c r="CP17" s="61"/>
      <c r="CQ17" s="62" t="s">
        <v>129</v>
      </c>
      <c r="CR17" s="63" t="s">
        <v>129</v>
      </c>
      <c r="CS17" s="64" t="s">
        <v>129</v>
      </c>
      <c r="CT17" s="65" t="s">
        <v>129</v>
      </c>
      <c r="CU17" s="139">
        <f>IFERROR((VLOOKUP(CN17,Scoring!$A:$B,2,0))+IF(CQ17="y",1,0)+IF(CR17="y",1,0)+IF(CS17="y",1,0)+IF(CT17="y",1,0),0)</f>
        <v>0</v>
      </c>
      <c r="CV17" s="147"/>
      <c r="CW17" s="142"/>
      <c r="CX17" s="142"/>
      <c r="CY17" s="143" t="s">
        <v>129</v>
      </c>
      <c r="CZ17" s="144" t="s">
        <v>129</v>
      </c>
      <c r="DA17" s="145" t="s">
        <v>129</v>
      </c>
      <c r="DB17" s="146" t="s">
        <v>129</v>
      </c>
      <c r="DC17" s="85">
        <f>IFERROR((VLOOKUP(CV17,Scoring!$D:$E,2,0))+IF(CY17="y",1,0)+IF(CZ17="y",1,0)+IF(DA17="y",1,0)+IF(DB17="y",1,0),0)</f>
        <v>0</v>
      </c>
      <c r="DD17" s="60"/>
      <c r="DE17" s="61"/>
      <c r="DF17" s="61"/>
      <c r="DG17" s="62" t="s">
        <v>129</v>
      </c>
      <c r="DH17" s="63" t="s">
        <v>129</v>
      </c>
      <c r="DI17" s="64" t="s">
        <v>129</v>
      </c>
      <c r="DJ17" s="65" t="s">
        <v>129</v>
      </c>
      <c r="DK17" s="139">
        <f>IFERROR((VLOOKUP(DD17,Scoring!$A:$B,2,0))+IF(DG17="y",1,0)+IF(DH17="y",1,0)+IF(DI17="y",1,0)+IF(DJ17="y",1,0),0)</f>
        <v>0</v>
      </c>
      <c r="DL17" s="60"/>
      <c r="DM17" s="61"/>
      <c r="DN17" s="61"/>
      <c r="DO17" s="62" t="s">
        <v>129</v>
      </c>
      <c r="DP17" s="63" t="s">
        <v>129</v>
      </c>
      <c r="DQ17" s="64" t="s">
        <v>129</v>
      </c>
      <c r="DR17" s="65" t="s">
        <v>129</v>
      </c>
      <c r="DS17" s="139">
        <f>IFERROR((VLOOKUP(DL17,Scoring!$A:$B,2,0))+IF(DO17="y",1,0)+IF(DP17="y",1,0)+IF(DQ17="y",1,0)+IF(DR17="y",1,0),0)</f>
        <v>0</v>
      </c>
      <c r="DT17" s="147"/>
      <c r="DU17" s="142"/>
      <c r="DV17" s="142"/>
      <c r="DW17" s="143" t="s">
        <v>129</v>
      </c>
      <c r="DX17" s="144" t="s">
        <v>129</v>
      </c>
      <c r="DY17" s="145" t="s">
        <v>129</v>
      </c>
      <c r="DZ17" s="146" t="s">
        <v>129</v>
      </c>
      <c r="EA17" s="88">
        <f>IFERROR((VLOOKUP(DT17,Scoring!$D:$E,2,0))+IF(DW17="y",1,0)+IF(DX17="y",1,0)+IF(DY17="y",1,0)+IF(DZ17="y",1,0),0)</f>
        <v>0</v>
      </c>
      <c r="EB17" s="148"/>
      <c r="EC17" s="149"/>
      <c r="ED17" s="149"/>
      <c r="EE17" s="150" t="s">
        <v>129</v>
      </c>
      <c r="EF17" s="151" t="s">
        <v>129</v>
      </c>
      <c r="EG17" s="152" t="s">
        <v>129</v>
      </c>
      <c r="EH17" s="153" t="s">
        <v>129</v>
      </c>
      <c r="EI17" s="154">
        <f>IFERROR((VLOOKUP(EB17,Scoring!$A:$B,2,0))+IF(EE17="y",1,0)+IF(EF17="y",1,0)+IF(EG17="y",1,0)+IF(EH17="y",1,0),0)</f>
        <v>0</v>
      </c>
      <c r="EJ17" s="60"/>
      <c r="EK17" s="61"/>
      <c r="EL17" s="61"/>
      <c r="EM17" s="62" t="s">
        <v>129</v>
      </c>
      <c r="EN17" s="63" t="s">
        <v>129</v>
      </c>
      <c r="EO17" s="64" t="s">
        <v>129</v>
      </c>
      <c r="EP17" s="65" t="s">
        <v>129</v>
      </c>
      <c r="EQ17" s="139">
        <f>IFERROR((VLOOKUP(EJ17,Scoring!$A:$B,2,0))+IF(EM17="y",1,0)+IF(EN17="y",1,0)+IF(EO17="y",1,0)+IF(EP17="y",1,0),0)</f>
        <v>0</v>
      </c>
      <c r="ER17" s="148"/>
      <c r="ES17" s="149"/>
      <c r="ET17" s="149"/>
      <c r="EU17" s="150" t="s">
        <v>129</v>
      </c>
      <c r="EV17" s="151" t="s">
        <v>129</v>
      </c>
      <c r="EW17" s="152" t="s">
        <v>129</v>
      </c>
      <c r="EX17" s="153" t="s">
        <v>129</v>
      </c>
      <c r="EY17" s="88">
        <f>IFERROR((VLOOKUP(ER17,Scoring!$D:$E,2,0))+IF(EU17="y",1,0)+IF(EV17="y",1,0)+IF(EW17="y",1,0)+IF(EX17="y",1,0),0)</f>
        <v>0</v>
      </c>
      <c r="EZ17" s="60"/>
      <c r="FA17" s="61"/>
      <c r="FB17" s="61"/>
      <c r="FC17" s="62" t="s">
        <v>129</v>
      </c>
      <c r="FD17" s="63" t="s">
        <v>129</v>
      </c>
      <c r="FE17" s="64" t="s">
        <v>129</v>
      </c>
      <c r="FF17" s="65" t="s">
        <v>129</v>
      </c>
      <c r="FG17" s="139">
        <f>IFERROR((VLOOKUP(EZ17,Scoring!$A:$B,2,0))+IF(FC17="y",1,0)+IF(FD17="y",1,0)+IF(FE17="y",1,0)+IF(FF17="y",1,0),0)</f>
        <v>0</v>
      </c>
      <c r="FH17" s="1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47</v>
      </c>
      <c r="B1" s="1" t="s">
        <v>192</v>
      </c>
      <c r="C1" s="1" t="s">
        <v>271</v>
      </c>
    </row>
    <row r="2">
      <c r="A2" s="1" t="s">
        <v>380</v>
      </c>
      <c r="B2" s="69" t="s">
        <v>381</v>
      </c>
      <c r="C2" s="1" t="s">
        <v>382</v>
      </c>
    </row>
    <row r="3">
      <c r="A3" s="1" t="s">
        <v>383</v>
      </c>
      <c r="B3" s="69" t="s">
        <v>384</v>
      </c>
      <c r="C3" s="1" t="s">
        <v>382</v>
      </c>
    </row>
    <row r="4">
      <c r="A4" s="1" t="s">
        <v>385</v>
      </c>
      <c r="B4" s="69" t="s">
        <v>386</v>
      </c>
      <c r="C4" s="1" t="s">
        <v>382</v>
      </c>
    </row>
    <row r="5">
      <c r="A5" s="1" t="s">
        <v>144</v>
      </c>
      <c r="B5" s="69" t="s">
        <v>387</v>
      </c>
      <c r="C5" s="1" t="s">
        <v>291</v>
      </c>
    </row>
    <row r="6">
      <c r="A6" s="1" t="s">
        <v>388</v>
      </c>
      <c r="B6" s="69" t="s">
        <v>389</v>
      </c>
      <c r="C6" s="1" t="s">
        <v>291</v>
      </c>
    </row>
    <row r="7">
      <c r="A7" s="1" t="s">
        <v>276</v>
      </c>
      <c r="B7" s="69" t="s">
        <v>390</v>
      </c>
      <c r="C7" s="1" t="s">
        <v>291</v>
      </c>
    </row>
    <row r="8">
      <c r="A8" s="1" t="s">
        <v>145</v>
      </c>
      <c r="B8" s="69" t="s">
        <v>390</v>
      </c>
      <c r="C8" s="1" t="s">
        <v>291</v>
      </c>
    </row>
    <row r="9">
      <c r="A9" s="1" t="s">
        <v>152</v>
      </c>
      <c r="B9" s="69" t="s">
        <v>391</v>
      </c>
      <c r="C9" s="1" t="s">
        <v>291</v>
      </c>
    </row>
    <row r="10">
      <c r="A10" s="1" t="s">
        <v>283</v>
      </c>
      <c r="B10" s="69" t="s">
        <v>392</v>
      </c>
      <c r="C10" s="1" t="s">
        <v>291</v>
      </c>
    </row>
    <row r="11">
      <c r="A11" s="1" t="s">
        <v>150</v>
      </c>
      <c r="B11" s="69" t="s">
        <v>392</v>
      </c>
      <c r="C11" s="1" t="s">
        <v>291</v>
      </c>
    </row>
    <row r="12">
      <c r="A12" s="1" t="s">
        <v>158</v>
      </c>
      <c r="B12" s="69" t="s">
        <v>393</v>
      </c>
      <c r="C12" s="1" t="s">
        <v>291</v>
      </c>
    </row>
    <row r="13">
      <c r="A13" s="1" t="s">
        <v>394</v>
      </c>
      <c r="B13" s="69" t="s">
        <v>395</v>
      </c>
      <c r="C13" s="1" t="s">
        <v>291</v>
      </c>
    </row>
    <row r="14">
      <c r="A14" s="1" t="s">
        <v>149</v>
      </c>
      <c r="B14" s="69" t="s">
        <v>395</v>
      </c>
      <c r="C14" s="1" t="s">
        <v>291</v>
      </c>
    </row>
    <row r="15">
      <c r="A15" s="1" t="s">
        <v>154</v>
      </c>
      <c r="B15" s="69" t="s">
        <v>396</v>
      </c>
      <c r="C15" s="1" t="s">
        <v>291</v>
      </c>
    </row>
    <row r="16">
      <c r="A16" s="1" t="s">
        <v>160</v>
      </c>
      <c r="B16" s="69" t="s">
        <v>397</v>
      </c>
      <c r="C16" s="1" t="s">
        <v>291</v>
      </c>
    </row>
    <row r="17">
      <c r="A17" s="1" t="s">
        <v>398</v>
      </c>
      <c r="B17" s="69" t="s">
        <v>399</v>
      </c>
      <c r="C17" s="1" t="s">
        <v>291</v>
      </c>
    </row>
    <row r="18">
      <c r="A18" s="1" t="s">
        <v>142</v>
      </c>
      <c r="B18" s="69" t="s">
        <v>399</v>
      </c>
      <c r="C18" s="1" t="s">
        <v>291</v>
      </c>
    </row>
    <row r="19">
      <c r="A19" s="1" t="s">
        <v>156</v>
      </c>
      <c r="B19" s="69" t="s">
        <v>400</v>
      </c>
      <c r="C19" s="1" t="s">
        <v>291</v>
      </c>
    </row>
    <row r="20">
      <c r="A20" s="1" t="s">
        <v>401</v>
      </c>
      <c r="B20" s="69" t="s">
        <v>402</v>
      </c>
      <c r="C20" s="1" t="s">
        <v>291</v>
      </c>
    </row>
    <row r="21">
      <c r="A21" s="1" t="s">
        <v>151</v>
      </c>
      <c r="B21" s="69" t="s">
        <v>402</v>
      </c>
      <c r="C21" s="1" t="s">
        <v>291</v>
      </c>
    </row>
    <row r="22">
      <c r="A22" s="1" t="s">
        <v>155</v>
      </c>
      <c r="B22" s="69" t="s">
        <v>403</v>
      </c>
      <c r="C22" s="1" t="s">
        <v>291</v>
      </c>
    </row>
    <row r="23">
      <c r="A23" s="1" t="s">
        <v>404</v>
      </c>
      <c r="B23" s="69" t="s">
        <v>405</v>
      </c>
      <c r="C23" s="1" t="s">
        <v>291</v>
      </c>
    </row>
    <row r="24">
      <c r="A24" s="1" t="s">
        <v>153</v>
      </c>
      <c r="B24" s="69" t="s">
        <v>405</v>
      </c>
      <c r="C24" s="1" t="s">
        <v>291</v>
      </c>
    </row>
    <row r="25">
      <c r="A25" s="1" t="s">
        <v>198</v>
      </c>
      <c r="B25" s="69" t="s">
        <v>406</v>
      </c>
      <c r="C25" s="1" t="s">
        <v>291</v>
      </c>
    </row>
  </sheetData>
  <drawing r:id="rId1"/>
</worksheet>
</file>