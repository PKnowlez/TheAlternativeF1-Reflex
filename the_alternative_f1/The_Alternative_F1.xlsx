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<sst xmlns="http://schemas.openxmlformats.org/spreadsheetml/2006/main" count="3314" uniqueCount="435">
  <si>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</si>
  <si>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</si>
  <si>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</si>
  <si>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</si>
  <si>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</si>
  <si>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</si>
  <si>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</si>
  <si>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</si>
  <si>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</si>
  <si>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</si>
  <si>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</si>
  <si>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</si>
  <si>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</si>
  <si>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</si>
  <si>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</si>
  <si>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</si>
  <si>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</si>
  <si>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</si>
  <si>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</si>
  <si>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</si>
  <si>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</si>
  <si>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</si>
  <si>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</si>
  <si>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</si>
  <si>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</si>
  <si>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</si>
  <si>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</si>
  <si>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</si>
  <si>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</si>
  <si>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</si>
  <si>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</si>
  <si>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</si>
  <si>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</si>
  <si>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</si>
  <si>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</si>
  <si>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</si>
  <si>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</si>
  <si>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</si>
  <si>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</si>
  <si>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</si>
  <si>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</si>
  <si>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</si>
  <si>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</si>
  <si>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</si>
  <si>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</si>
  <si>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</si>
  <si>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</si>
  <si>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</si>
  <si>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</si>
  <si>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</si>
  <si>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</si>
  <si>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</si>
  <si>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</si>
  <si>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</si>
  <si>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</si>
  <si>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</si>
  <si>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</si>
  <si>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</si>
  <si>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</si>
  <si>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</si>
  <si>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</si>
  <si>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</si>
  <si>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</si>
  <si>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</si>
  <si>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</si>
  <si>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</si>
  <si>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</si>
  <si>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</si>
  <si>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</si>
  <si>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</si>
  <si>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</si>
  <si>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</si>
  <si>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</si>
  <si>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</si>
  <si>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</si>
  <si>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</si>
  <si>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</si>
  <si>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</si>
  <si>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</si>
  <si>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</si>
  <si>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</si>
  <si>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</si>
  <si>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</si>
  <si>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</si>
  <si>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</si>
  <si>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</si>
  <si>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</si>
  <si>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</si>
  <si>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</si>
  <si>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</si>
  <si>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</si>
  <si>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</si>
  <si>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</si>
  <si>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</si>
  <si>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</si>
  <si>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</si>
  <si>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</si>
  <si>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</si>
  <si>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</si>
  <si>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</si>
  <si>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</si>
  <si>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</si>
  <si>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</si>
  <si>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</si>
  <si>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</si>
  <si>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</si>
  <si>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</si>
  <si>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</si>
  <si>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</si>
  <si>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</si>
  <si>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</si>
  <si>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</si>
  <si>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</si>
  <si>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</si>
  <si>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</si>
  <si>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</si>
  <si>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</si>
  <si>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</si>
  <si>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</si>
  <si>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</si>
  <si>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</si>
  <si>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</si>
  <si>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</si>
  <si>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</si>
  <si>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</si>
  <si>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</si>
  <si>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</si>
  <si>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</si>
  <si>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</si>
  <si>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</si>
  <si>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</si>
  <si>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</si>
  <si>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</si>
  <si>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</si>
  <si>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</si>
  <si>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</si>
  <si>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</si>
  <si>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</si>
  <si>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</si>
  <si>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</si>
  <si>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</si>
  <si>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</si>
  <si>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</si>
  <si>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</si>
  <si>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</si>
  <si>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</si>
  <si>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</si>
  <si>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</si>
  <si>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</si>
  <si>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</si>
  <si>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</si>
  <si>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</si>
  <si>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</si>
  <si>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</si>
  <si>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</si>
  <si>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</si>
  <si>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</si>
  <si>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</si>
  <si>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</si>
  <si>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</si>
  <si>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</si>
  <si>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</si>
  <si>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</si>
  <si>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</si>
  <si>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</si>
  <si>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</si>
  <si>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</si>
  <si>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</si>
  <si>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</si>
  <si>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</si>
  <si>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</si>
  <si>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</si>
  <si>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</si>
  <si>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</si>
  <si>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</si>
  <si>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</si>
  <si>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</si>
  <si>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</si>
  <si>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</si>
  <si>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</si>
  <si>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</si>
  <si>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</si>
  <si>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</si>
  <si>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</si>
  <si>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</si>
  <si>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</si>
  <si>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</si>
  <si>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</si>
  <si>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</si>
  <si>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</si>
  <si>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</si>
  <si>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</si>
  <si>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</si>
  <si>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</si>
  <si>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</si>
  <si>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</si>
  <si>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</si>
  <si>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</si>
  <si>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</si>
  <si>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</si>
  <si>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</si>
  <si>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</si>
  <si>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</si>
  <si>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</si>
  <si>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</si>
  <si>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</si>
  <si>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</si>
  <si>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</si>
  <si>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</si>
  <si>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</si>
  <si>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</si>
  <si>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</si>
  <si>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</si>
  <si>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</si>
  <si>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</si>
  <si>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</si>
  <si>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</si>
  <si>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</si>
  <si>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</si>
  <si>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</si>
  <si>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</si>
  <si>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</si>
  <si>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</si>
  <si>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</si>
  <si>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</si>
  <si>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</si>
  <si>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</si>
  <si>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</si>
  <si>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</si>
  <si>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</si>
  <si>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</si>
  <si>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</si>
  <si>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</si>
  <si>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</si>
  <si>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</si>
  <si>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</si>
  <si>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</si>
  <si>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</si>
  <si>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</si>
  <si>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</si>
  <si>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</si>
  <si>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</si>
  <si>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</si>
  <si>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</si>
  <si>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</si>
  <si>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</si>
  <si>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</si>
  <si>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</si>
  <si>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</si>
  <si>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</si>
  <si>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</si>
  <si>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</si>
  <si>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</si>
  <si>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</si>
  <si>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</si>
  <si>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</si>
  <si>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</si>
  <si>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</si>
  <si>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</si>
  <si>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</si>
  <si>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</si>
  <si>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</si>
  <si>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</si>
  <si>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</si>
  <si>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</si>
  <si>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</si>
  <si>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</si>
  <si>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</si>
  <si>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</si>
  <si>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</si>
  <si>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</si>
  <si>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</si>
  <si>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</si>
  <si>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</si>
  <si>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</si>
  <si>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</si>
  <si>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</si>
  <si>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</si>
  <si>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</si>
  <si>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</si>
  <si>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</si>
  <si>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</si>
  <si>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</si>
  <si>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</si>
  <si>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</si>
  <si>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</si>
  <si>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</si>
  <si>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</si>
  <si>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</si>
  <si>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</si>
  <si>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</si>
  <si>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</si>
  <si>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</si>
  <si>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</si>
  <si>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</si>
  <si>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</si>
  <si>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</si>
  <si>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</si>
  <si>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</si>
  <si>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</si>
  <si>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</si>
  <si>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</si>
  <si>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</si>
  <si>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</si>
  <si>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</si>
  <si>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</si>
  <si>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</si>
  <si>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</si>
  <si>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</si>
  <si>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</si>
  <si>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</si>
  <si>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</si>
  <si>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</si>
  <si>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</si>
  <si>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</si>
  <si>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</si>
  <si>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</si>
  <si>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</si>
  <si>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</si>
  <si>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</si>
  <si>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</si>
  <si>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</si>
  <si>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</si>
  <si>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</si>
  <si>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</si>
  <si>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</si>
  <si>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</si>
  <si>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</si>
  <si>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</si>
  <si>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</si>
  <si>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</si>
  <si>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</si>
  <si>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</si>
  <si>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</si>
  <si>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</si>
  <si>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</si>
  <si>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</si>
  <si>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</si>
  <si>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</si>
  <si>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</si>
  <si>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</si>
  <si>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</si>
  <si>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</si>
  <si>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</si>
  <si>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</si>
  <si>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</si>
  <si>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</si>
  <si>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</si>
  <si>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</si>
  <si>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</si>
  <si>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</si>
  <si>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</si>
  <si>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</si>
  <si>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</si>
  <si>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</si>
  <si>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</si>
  <si>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</si>
  <si>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</si>
  <si>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</si>
  <si>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</si>
  <si>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</si>
  <si>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</si>
  <si>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</si>
  <si>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</si>
  <si>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</si>
  <si>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</si>
  <si>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</si>
  <si>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</si>
  <si>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</si>
  <si>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</si>
  <si>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</si>
  <si>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</si>
  <si>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</si>
  <si>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</si>
  <si>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</si>
  <si>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</si>
  <si>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</si>
  <si>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</si>
  <si>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</si>
  <si>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</si>
  <si>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</si>
  <si>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</si>
  <si>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</si>
  <si>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</si>
  <si>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</si>
  <si>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</si>
  <si>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</si>
  <si>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</si>
  <si>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</si>
  <si>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</si>
  <si>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</si>
  <si>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</si>
  <si>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</si>
  <si>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</si>
  <si>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</si>
  <si>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</si>
  <si>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</si>
  <si>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</si>
  <si>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</si>
  <si>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</si>
  <si>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Austin</t>
  </si>
  <si>
    <t>Randy</t>
  </si>
  <si>
    <t>Pre-Season: TBD</t>
  </si>
  <si>
    <t>8/12/2026</t>
  </si>
  <si>
    <t>8/19/2026</t>
  </si>
  <si>
    <t>Pre-Season: Hungary</t>
  </si>
  <si>
    <t>8/26/2026</t>
  </si>
  <si>
    <t>W1</t>
  </si>
  <si>
    <t>9/9/2026</t>
  </si>
  <si>
    <t>W2</t>
  </si>
  <si>
    <t>9/16/2026</t>
  </si>
  <si>
    <t>W3</t>
  </si>
  <si>
    <t>9/30/2026</t>
  </si>
  <si>
    <t>W4</t>
  </si>
  <si>
    <t>10/7/2026</t>
  </si>
  <si>
    <t>W5</t>
  </si>
  <si>
    <t>10/14/2026</t>
  </si>
  <si>
    <t>W6</t>
  </si>
  <si>
    <t>10/28/2026</t>
  </si>
  <si>
    <t>W7</t>
  </si>
  <si>
    <t>11/4/2026</t>
  </si>
  <si>
    <t>W8</t>
  </si>
  <si>
    <t>11/18/2026</t>
  </si>
  <si>
    <t>W9</t>
  </si>
  <si>
    <t>12/2/2026</t>
  </si>
  <si>
    <t>W-10</t>
  </si>
  <si>
    <t>12/9/2026</t>
  </si>
  <si>
    <t>W-11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</si>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</sst>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71" t="s">
        <v>373</v>
      </c>
      <c r="CD1" s="72" t="s">
        <v>374</v>
      </c>
      <c r="CE1" s="73" t="s">
        <v>375</v>
      </c>
      <c r="CF1" s="74" t="s">
        <v>376</v>
      </c>
      <c r="CG1" s="75" t="s">
        <v>377</v>
      </c>
      <c r="CH1" s="76" t="s">
        <v>378</v>
      </c>
      <c r="CI1" s="77" t="s">
        <v>379</v>
      </c>
      <c r="CJ1" s="71" t="s">
        <v>87</v>
      </c>
      <c r="CK1" s="72" t="s">
        <v>88</v>
      </c>
      <c r="CL1" s="73" t="s">
        <v>89</v>
      </c>
      <c r="CM1" s="74" t="s">
        <v>247</v>
      </c>
      <c r="CN1" s="75" t="s">
        <v>248</v>
      </c>
      <c r="CO1" s="76" t="s">
        <v>249</v>
      </c>
      <c r="CP1" s="77" t="s">
        <v>90</v>
      </c>
      <c r="CQ1" s="6" t="s">
        <v>103</v>
      </c>
      <c r="CR1" s="7" t="s">
        <v>104</v>
      </c>
      <c r="CS1" s="8" t="s">
        <v>105</v>
      </c>
      <c r="CT1" s="9" t="s">
        <v>380</v>
      </c>
      <c r="CU1" s="10" t="s">
        <v>381</v>
      </c>
      <c r="CV1" s="11" t="s">
        <v>382</v>
      </c>
      <c r="CW1" s="70" t="s">
        <v>106</v>
      </c>
      <c r="CX1" s="78" t="s">
        <v>383</v>
      </c>
      <c r="CY1" s="79" t="s">
        <v>384</v>
      </c>
      <c r="CZ1" s="80" t="s">
        <v>385</v>
      </c>
      <c r="DA1" s="81" t="s">
        <v>386</v>
      </c>
      <c r="DB1" s="82" t="s">
        <v>387</v>
      </c>
      <c r="DC1" s="83" t="s">
        <v>388</v>
      </c>
      <c r="DD1" s="84" t="s">
        <v>389</v>
      </c>
      <c r="DE1" s="6" t="s">
        <v>95</v>
      </c>
      <c r="DF1" s="7" t="s">
        <v>96</v>
      </c>
      <c r="DG1" s="8" t="s">
        <v>97</v>
      </c>
      <c r="DH1" s="9" t="s">
        <v>390</v>
      </c>
      <c r="DI1" s="10" t="s">
        <v>391</v>
      </c>
      <c r="DJ1" s="11" t="s">
        <v>392</v>
      </c>
      <c r="DK1" s="70" t="s">
        <v>98</v>
      </c>
      <c r="DL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85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85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85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86"/>
      <c r="CD2" s="87"/>
      <c r="CE2" s="88" t="s">
        <v>128</v>
      </c>
      <c r="CF2" s="89" t="s">
        <v>128</v>
      </c>
      <c r="CG2" s="90" t="s">
        <v>128</v>
      </c>
      <c r="CH2" s="91" t="s">
        <v>128</v>
      </c>
      <c r="CI2" s="92">
        <f>IFERROR((VLOOKUP(CC2,Scoring!$A:$B,2,0))+IF(CE2="y",1,0)+IF(CF2="y",1,0)+IF(CG2="y",1,0)+IF(CH2="y",1,0),0)</f>
        <v>0</v>
      </c>
      <c r="CJ2" s="93"/>
      <c r="CK2" s="94"/>
      <c r="CL2" s="95" t="s">
        <v>128</v>
      </c>
      <c r="CM2" s="96" t="s">
        <v>128</v>
      </c>
      <c r="CN2" s="97" t="s">
        <v>128</v>
      </c>
      <c r="CO2" s="98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93"/>
      <c r="CY2" s="94"/>
      <c r="CZ2" s="95" t="s">
        <v>128</v>
      </c>
      <c r="DA2" s="96" t="s">
        <v>128</v>
      </c>
      <c r="DB2" s="97" t="s">
        <v>128</v>
      </c>
      <c r="DC2" s="98" t="s">
        <v>128</v>
      </c>
      <c r="DD2" s="92">
        <f>IFERROR((VLOOKUP(CX2,Scoring!$A:$B,2,0))+IF(CZ2="y",1,0)+IF(DA2="y",1,0)+IF(DB2="y",1,0)+IF(DC2="y",1,0),0)</f>
        <v>0</v>
      </c>
      <c r="DE2" s="16"/>
      <c r="DF2" s="17"/>
      <c r="DG2" s="18" t="s">
        <v>128</v>
      </c>
      <c r="DH2" s="19" t="s">
        <v>128</v>
      </c>
      <c r="DI2" s="20" t="s">
        <v>128</v>
      </c>
      <c r="DJ2" s="21" t="s">
        <v>128</v>
      </c>
      <c r="DK2" s="85">
        <f>IFERROR((VLOOKUP(DE2,Scoring!$A:$B,2,0))+IF(DG2="y",1,0)+IF(DH2="y",1,0)+IF(DI2="y",1,0)+IF(DJ2="y",1,0),0)</f>
        <v>0</v>
      </c>
      <c r="DL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99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99">
        <f>IFERROR((VLOOKUP(K3,Scoring!$A:$B,2,0))+IF(M3="y",1,0)+IF(N3="y",1,0)+IF(O3="y",1,0)+IF(P3="y",1,0),0)</f>
        <v>0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99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99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99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99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99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99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99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99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99">
        <f>IFERROR((VLOOKUP(BV3,Scoring!$A:$B,2,0))+IF(BX3="y",1,0)+IF(BY3="y",1,0)+IF(BZ3="y",1,0)+IF(CA3="y",1,0),0)</f>
        <v>0</v>
      </c>
      <c r="CC3" s="100"/>
      <c r="CD3" s="101"/>
      <c r="CE3" s="102" t="s">
        <v>128</v>
      </c>
      <c r="CF3" s="103" t="s">
        <v>128</v>
      </c>
      <c r="CG3" s="104" t="s">
        <v>128</v>
      </c>
      <c r="CH3" s="105" t="s">
        <v>128</v>
      </c>
      <c r="CI3" s="106">
        <f>IFERROR((VLOOKUP(CC3,Scoring!$A:$B,2,0))+IF(CE3="y",1,0)+IF(CF3="y",1,0)+IF(CG3="y",1,0)+IF(CH3="y",1,0),0)</f>
        <v>0</v>
      </c>
      <c r="CJ3" s="107"/>
      <c r="CK3" s="108"/>
      <c r="CL3" s="109" t="s">
        <v>128</v>
      </c>
      <c r="CM3" s="110" t="s">
        <v>128</v>
      </c>
      <c r="CN3" s="111" t="s">
        <v>128</v>
      </c>
      <c r="CO3" s="112" t="s">
        <v>128</v>
      </c>
      <c r="CP3" s="106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99">
        <f>IFERROR((VLOOKUP(CQ3,Scoring!$A:$B,2,0))+IF(CS3="y",1,0)+IF(CT3="y",1,0)+IF(CU3="y",1,0)+IF(CV3="y",1,0),0)</f>
        <v>0</v>
      </c>
      <c r="CX3" s="107"/>
      <c r="CY3" s="108"/>
      <c r="CZ3" s="109" t="s">
        <v>128</v>
      </c>
      <c r="DA3" s="110" t="s">
        <v>128</v>
      </c>
      <c r="DB3" s="111" t="s">
        <v>128</v>
      </c>
      <c r="DC3" s="112" t="s">
        <v>128</v>
      </c>
      <c r="DD3" s="106">
        <f>IFERROR((VLOOKUP(CX3,Scoring!$A:$B,2,0))+IF(CZ3="y",1,0)+IF(DA3="y",1,0)+IF(DB3="y",1,0)+IF(DC3="y",1,0),0)</f>
        <v>0</v>
      </c>
      <c r="DE3" s="24"/>
      <c r="DF3" s="25"/>
      <c r="DG3" s="26" t="s">
        <v>128</v>
      </c>
      <c r="DH3" s="27" t="s">
        <v>128</v>
      </c>
      <c r="DI3" s="28" t="s">
        <v>128</v>
      </c>
      <c r="DJ3" s="29" t="s">
        <v>128</v>
      </c>
      <c r="DK3" s="99">
        <f>IFERROR((VLOOKUP(DE3,Scoring!$A:$B,2,0))+IF(DG3="y",1,0)+IF(DH3="y",1,0)+IF(DI3="y",1,0)+IF(DJ3="y",1,0),0)</f>
        <v>0</v>
      </c>
      <c r="DL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85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85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85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113"/>
      <c r="CD4" s="114"/>
      <c r="CE4" s="115" t="s">
        <v>128</v>
      </c>
      <c r="CF4" s="116" t="s">
        <v>128</v>
      </c>
      <c r="CG4" s="117" t="s">
        <v>128</v>
      </c>
      <c r="CH4" s="118" t="s">
        <v>128</v>
      </c>
      <c r="CI4" s="92">
        <f>IFERROR((VLOOKUP(CC4,Scoring!$A:$B,2,0))+IF(CE4="y",1,0)+IF(CF4="y",1,0)+IF(CG4="y",1,0)+IF(CH4="y",1,0),0)</f>
        <v>0</v>
      </c>
      <c r="CJ4" s="119"/>
      <c r="CK4" s="120"/>
      <c r="CL4" s="121" t="s">
        <v>128</v>
      </c>
      <c r="CM4" s="122" t="s">
        <v>128</v>
      </c>
      <c r="CN4" s="123" t="s">
        <v>128</v>
      </c>
      <c r="CO4" s="124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119"/>
      <c r="CY4" s="120"/>
      <c r="CZ4" s="121" t="s">
        <v>128</v>
      </c>
      <c r="DA4" s="122" t="s">
        <v>128</v>
      </c>
      <c r="DB4" s="123" t="s">
        <v>128</v>
      </c>
      <c r="DC4" s="124" t="s">
        <v>128</v>
      </c>
      <c r="DD4" s="92">
        <f>IFERROR((VLOOKUP(CX4,Scoring!$A:$B,2,0))+IF(CZ4="y",1,0)+IF(DA4="y",1,0)+IF(DB4="y",1,0)+IF(DC4="y",1,0),0)</f>
        <v>0</v>
      </c>
      <c r="DE4" s="36"/>
      <c r="DF4" s="37"/>
      <c r="DG4" s="38" t="s">
        <v>128</v>
      </c>
      <c r="DH4" s="39" t="s">
        <v>128</v>
      </c>
      <c r="DI4" s="40" t="s">
        <v>128</v>
      </c>
      <c r="DJ4" s="41" t="s">
        <v>128</v>
      </c>
      <c r="DK4" s="85">
        <f>IFERROR((VLOOKUP(DE4,Scoring!$A:$B,2,0))+IF(DG4="y",1,0)+IF(DH4="y",1,0)+IF(DI4="y",1,0)+IF(DJ4="y",1,0),0)</f>
        <v>0</v>
      </c>
      <c r="DL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99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99">
        <f>IFERROR((VLOOKUP(K5,Scoring!$A:$B,2,0))+IF(M5="y",1,0)+IF(N5="y",1,0)+IF(O5="y",1,0)+IF(P5="y",1,0),0)</f>
        <v>0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99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99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99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99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99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99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99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99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99">
        <f>IFERROR((VLOOKUP(BV5,Scoring!$A:$B,2,0))+IF(BX5="y",1,0)+IF(BY5="y",1,0)+IF(BZ5="y",1,0)+IF(CA5="y",1,0),0)</f>
        <v>0</v>
      </c>
      <c r="CC5" s="125"/>
      <c r="CD5" s="126"/>
      <c r="CE5" s="127" t="s">
        <v>128</v>
      </c>
      <c r="CF5" s="128" t="s">
        <v>128</v>
      </c>
      <c r="CG5" s="129" t="s">
        <v>128</v>
      </c>
      <c r="CH5" s="130" t="s">
        <v>128</v>
      </c>
      <c r="CI5" s="106">
        <f>IFERROR((VLOOKUP(CC5,Scoring!$A:$B,2,0))+IF(CE5="y",1,0)+IF(CF5="y",1,0)+IF(CG5="y",1,0)+IF(CH5="y",1,0),0)</f>
        <v>0</v>
      </c>
      <c r="CJ5" s="131"/>
      <c r="CK5" s="132"/>
      <c r="CL5" s="133" t="s">
        <v>128</v>
      </c>
      <c r="CM5" s="134" t="s">
        <v>128</v>
      </c>
      <c r="CN5" s="135" t="s">
        <v>128</v>
      </c>
      <c r="CO5" s="136" t="s">
        <v>128</v>
      </c>
      <c r="CP5" s="106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99">
        <f>IFERROR((VLOOKUP(CQ5,Scoring!$A:$B,2,0))+IF(CS5="y",1,0)+IF(CT5="y",1,0)+IF(CU5="y",1,0)+IF(CV5="y",1,0),0)</f>
        <v>0</v>
      </c>
      <c r="CX5" s="131"/>
      <c r="CY5" s="132"/>
      <c r="CZ5" s="133" t="s">
        <v>128</v>
      </c>
      <c r="DA5" s="134" t="s">
        <v>128</v>
      </c>
      <c r="DB5" s="135" t="s">
        <v>128</v>
      </c>
      <c r="DC5" s="136" t="s">
        <v>128</v>
      </c>
      <c r="DD5" s="106">
        <f>IFERROR((VLOOKUP(CX5,Scoring!$A:$B,2,0))+IF(CZ5="y",1,0)+IF(DA5="y",1,0)+IF(DB5="y",1,0)+IF(DC5="y",1,0),0)</f>
        <v>0</v>
      </c>
      <c r="DE5" s="48"/>
      <c r="DF5" s="49"/>
      <c r="DG5" s="50" t="s">
        <v>128</v>
      </c>
      <c r="DH5" s="51" t="s">
        <v>128</v>
      </c>
      <c r="DI5" s="52" t="s">
        <v>128</v>
      </c>
      <c r="DJ5" s="53" t="s">
        <v>128</v>
      </c>
      <c r="DK5" s="99">
        <f>IFERROR((VLOOKUP(DE5,Scoring!$A:$B,2,0))+IF(DG5="y",1,0)+IF(DH5="y",1,0)+IF(DI5="y",1,0)+IF(DJ5="y",1,0),0)</f>
        <v>0</v>
      </c>
      <c r="DL5" s="13">
        <v>0.0</v>
      </c>
    </row>
    <row r="6">
      <c r="A6" s="14" t="s">
        <v>393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85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85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85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100"/>
      <c r="CD6" s="101"/>
      <c r="CE6" s="102" t="s">
        <v>128</v>
      </c>
      <c r="CF6" s="103" t="s">
        <v>128</v>
      </c>
      <c r="CG6" s="104" t="s">
        <v>128</v>
      </c>
      <c r="CH6" s="105" t="s">
        <v>128</v>
      </c>
      <c r="CI6" s="92">
        <f>IFERROR((VLOOKUP(CC6,Scoring!$A:$B,2,0))+IF(CE6="y",1,0)+IF(CF6="y",1,0)+IF(CG6="y",1,0)+IF(CH6="y",1,0),0)</f>
        <v>0</v>
      </c>
      <c r="CJ6" s="107"/>
      <c r="CK6" s="108"/>
      <c r="CL6" s="109" t="s">
        <v>128</v>
      </c>
      <c r="CM6" s="110" t="s">
        <v>128</v>
      </c>
      <c r="CN6" s="111" t="s">
        <v>128</v>
      </c>
      <c r="CO6" s="112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107"/>
      <c r="CY6" s="108"/>
      <c r="CZ6" s="109" t="s">
        <v>128</v>
      </c>
      <c r="DA6" s="110" t="s">
        <v>128</v>
      </c>
      <c r="DB6" s="111" t="s">
        <v>128</v>
      </c>
      <c r="DC6" s="112" t="s">
        <v>128</v>
      </c>
      <c r="DD6" s="92">
        <f>IFERROR((VLOOKUP(CX6,Scoring!$A:$B,2,0))+IF(CZ6="y",1,0)+IF(DA6="y",1,0)+IF(DB6="y",1,0)+IF(DC6="y",1,0),0)</f>
        <v>0</v>
      </c>
      <c r="DE6" s="24"/>
      <c r="DF6" s="25"/>
      <c r="DG6" s="26" t="s">
        <v>128</v>
      </c>
      <c r="DH6" s="27" t="s">
        <v>128</v>
      </c>
      <c r="DI6" s="28" t="s">
        <v>128</v>
      </c>
      <c r="DJ6" s="29" t="s">
        <v>128</v>
      </c>
      <c r="DK6" s="85">
        <f>IFERROR((VLOOKUP(DE6,Scoring!$A:$B,2,0))+IF(DG6="y",1,0)+IF(DH6="y",1,0)+IF(DI6="y",1,0)+IF(DJ6="y",1,0),0)</f>
        <v>0</v>
      </c>
      <c r="DL6" s="13">
        <v>0.0</v>
      </c>
    </row>
    <row r="7">
      <c r="A7" s="14" t="s">
        <v>393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99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99">
        <f>IFERROR((VLOOKUP(K7,Scoring!$A:$B,2,0))+IF(M7="y",1,0)+IF(N7="y",1,0)+IF(O7="y",1,0)+IF(P7="y",1,0),0)</f>
        <v>0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99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99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99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99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99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99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99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99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99">
        <f>IFERROR((VLOOKUP(BV7,Scoring!$A:$B,2,0))+IF(BX7="y",1,0)+IF(BY7="y",1,0)+IF(BZ7="y",1,0)+IF(CA7="y",1,0),0)</f>
        <v>0</v>
      </c>
      <c r="CC7" s="100"/>
      <c r="CD7" s="101"/>
      <c r="CE7" s="102" t="s">
        <v>128</v>
      </c>
      <c r="CF7" s="103" t="s">
        <v>128</v>
      </c>
      <c r="CG7" s="104" t="s">
        <v>128</v>
      </c>
      <c r="CH7" s="105" t="s">
        <v>128</v>
      </c>
      <c r="CI7" s="106">
        <f>IFERROR((VLOOKUP(CC7,Scoring!$A:$B,2,0))+IF(CE7="y",1,0)+IF(CF7="y",1,0)+IF(CG7="y",1,0)+IF(CH7="y",1,0),0)</f>
        <v>0</v>
      </c>
      <c r="CJ7" s="107"/>
      <c r="CK7" s="108"/>
      <c r="CL7" s="109" t="s">
        <v>128</v>
      </c>
      <c r="CM7" s="110" t="s">
        <v>128</v>
      </c>
      <c r="CN7" s="111" t="s">
        <v>128</v>
      </c>
      <c r="CO7" s="112" t="s">
        <v>128</v>
      </c>
      <c r="CP7" s="106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99">
        <f>IFERROR((VLOOKUP(CQ7,Scoring!$A:$B,2,0))+IF(CS7="y",1,0)+IF(CT7="y",1,0)+IF(CU7="y",1,0)+IF(CV7="y",1,0),0)</f>
        <v>0</v>
      </c>
      <c r="CX7" s="107"/>
      <c r="CY7" s="108"/>
      <c r="CZ7" s="109" t="s">
        <v>128</v>
      </c>
      <c r="DA7" s="110" t="s">
        <v>128</v>
      </c>
      <c r="DB7" s="111" t="s">
        <v>128</v>
      </c>
      <c r="DC7" s="112" t="s">
        <v>128</v>
      </c>
      <c r="DD7" s="106">
        <f>IFERROR((VLOOKUP(CX7,Scoring!$A:$B,2,0))+IF(CZ7="y",1,0)+IF(DA7="y",1,0)+IF(DB7="y",1,0)+IF(DC7="y",1,0),0)</f>
        <v>0</v>
      </c>
      <c r="DE7" s="24"/>
      <c r="DF7" s="25"/>
      <c r="DG7" s="26" t="s">
        <v>128</v>
      </c>
      <c r="DH7" s="27" t="s">
        <v>128</v>
      </c>
      <c r="DI7" s="28" t="s">
        <v>128</v>
      </c>
      <c r="DJ7" s="29" t="s">
        <v>128</v>
      </c>
      <c r="DK7" s="99">
        <f>IFERROR((VLOOKUP(DE7,Scoring!$A:$B,2,0))+IF(DG7="y",1,0)+IF(DH7="y",1,0)+IF(DI7="y",1,0)+IF(DJ7="y",1,0),0)</f>
        <v>0</v>
      </c>
      <c r="DL7" s="13">
        <v>0.0</v>
      </c>
    </row>
    <row r="8">
      <c r="A8" s="33" t="s">
        <v>394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85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85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85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113"/>
      <c r="CD8" s="114"/>
      <c r="CE8" s="115" t="s">
        <v>128</v>
      </c>
      <c r="CF8" s="116" t="s">
        <v>128</v>
      </c>
      <c r="CG8" s="117" t="s">
        <v>128</v>
      </c>
      <c r="CH8" s="118" t="s">
        <v>128</v>
      </c>
      <c r="CI8" s="92">
        <f>IFERROR((VLOOKUP(CC8,Scoring!$A:$B,2,0))+IF(CE8="y",1,0)+IF(CF8="y",1,0)+IF(CG8="y",1,0)+IF(CH8="y",1,0),0)</f>
        <v>0</v>
      </c>
      <c r="CJ8" s="119"/>
      <c r="CK8" s="120"/>
      <c r="CL8" s="121" t="s">
        <v>128</v>
      </c>
      <c r="CM8" s="122" t="s">
        <v>128</v>
      </c>
      <c r="CN8" s="123" t="s">
        <v>128</v>
      </c>
      <c r="CO8" s="124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119"/>
      <c r="CY8" s="120"/>
      <c r="CZ8" s="121" t="s">
        <v>128</v>
      </c>
      <c r="DA8" s="122" t="s">
        <v>128</v>
      </c>
      <c r="DB8" s="123" t="s">
        <v>128</v>
      </c>
      <c r="DC8" s="124" t="s">
        <v>128</v>
      </c>
      <c r="DD8" s="92">
        <f>IFERROR((VLOOKUP(CX8,Scoring!$A:$B,2,0))+IF(CZ8="y",1,0)+IF(DA8="y",1,0)+IF(DB8="y",1,0)+IF(DC8="y",1,0),0)</f>
        <v>0</v>
      </c>
      <c r="DE8" s="36"/>
      <c r="DF8" s="37"/>
      <c r="DG8" s="38" t="s">
        <v>128</v>
      </c>
      <c r="DH8" s="39" t="s">
        <v>128</v>
      </c>
      <c r="DI8" s="40" t="s">
        <v>128</v>
      </c>
      <c r="DJ8" s="41" t="s">
        <v>128</v>
      </c>
      <c r="DK8" s="85">
        <f>IFERROR((VLOOKUP(DE8,Scoring!$A:$B,2,0))+IF(DG8="y",1,0)+IF(DH8="y",1,0)+IF(DI8="y",1,0)+IF(DJ8="y",1,0),0)</f>
        <v>0</v>
      </c>
      <c r="DL8" s="13">
        <v>0.0</v>
      </c>
    </row>
    <row r="9">
      <c r="A9" s="45" t="s">
        <v>394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99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99">
        <f>IFERROR((VLOOKUP(K9,Scoring!$A:$B,2,0))+IF(M9="y",1,0)+IF(N9="y",1,0)+IF(O9="y",1,0)+IF(P9="y",1,0),0)</f>
        <v>0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99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99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99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99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99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99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99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99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99">
        <f>IFERROR((VLOOKUP(BV9,Scoring!$A:$B,2,0))+IF(BX9="y",1,0)+IF(BY9="y",1,0)+IF(BZ9="y",1,0)+IF(CA9="y",1,0),0)</f>
        <v>0</v>
      </c>
      <c r="CC9" s="125"/>
      <c r="CD9" s="126"/>
      <c r="CE9" s="127" t="s">
        <v>128</v>
      </c>
      <c r="CF9" s="128" t="s">
        <v>128</v>
      </c>
      <c r="CG9" s="129" t="s">
        <v>128</v>
      </c>
      <c r="CH9" s="130" t="s">
        <v>128</v>
      </c>
      <c r="CI9" s="106">
        <f>IFERROR((VLOOKUP(CC9,Scoring!$A:$B,2,0))+IF(CE9="y",1,0)+IF(CF9="y",1,0)+IF(CG9="y",1,0)+IF(CH9="y",1,0),0)</f>
        <v>0</v>
      </c>
      <c r="CJ9" s="131"/>
      <c r="CK9" s="132"/>
      <c r="CL9" s="133" t="s">
        <v>128</v>
      </c>
      <c r="CM9" s="134" t="s">
        <v>128</v>
      </c>
      <c r="CN9" s="135" t="s">
        <v>128</v>
      </c>
      <c r="CO9" s="136" t="s">
        <v>128</v>
      </c>
      <c r="CP9" s="106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99">
        <f>IFERROR((VLOOKUP(CQ9,Scoring!$A:$B,2,0))+IF(CS9="y",1,0)+IF(CT9="y",1,0)+IF(CU9="y",1,0)+IF(CV9="y",1,0),0)</f>
        <v>0</v>
      </c>
      <c r="CX9" s="131"/>
      <c r="CY9" s="132"/>
      <c r="CZ9" s="133" t="s">
        <v>128</v>
      </c>
      <c r="DA9" s="134" t="s">
        <v>128</v>
      </c>
      <c r="DB9" s="135" t="s">
        <v>128</v>
      </c>
      <c r="DC9" s="136" t="s">
        <v>128</v>
      </c>
      <c r="DD9" s="106">
        <f>IFERROR((VLOOKUP(CX9,Scoring!$A:$B,2,0))+IF(CZ9="y",1,0)+IF(DA9="y",1,0)+IF(DB9="y",1,0)+IF(DC9="y",1,0),0)</f>
        <v>0</v>
      </c>
      <c r="DE9" s="48"/>
      <c r="DF9" s="49"/>
      <c r="DG9" s="50" t="s">
        <v>128</v>
      </c>
      <c r="DH9" s="51" t="s">
        <v>128</v>
      </c>
      <c r="DI9" s="52" t="s">
        <v>128</v>
      </c>
      <c r="DJ9" s="53" t="s">
        <v>128</v>
      </c>
      <c r="DK9" s="99">
        <f>IFERROR((VLOOKUP(DE9,Scoring!$A:$B,2,0))+IF(DG9="y",1,0)+IF(DH9="y",1,0)+IF(DI9="y",1,0)+IF(DJ9="y",1,0),0)</f>
        <v>0</v>
      </c>
      <c r="DL9" s="13">
        <v>0.0</v>
      </c>
    </row>
    <row r="10">
      <c r="A10" s="14" t="s">
        <v>395</v>
      </c>
      <c r="B10" s="1" t="s">
        <v>396</v>
      </c>
      <c r="C10" s="15" t="s">
        <v>397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85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85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85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100"/>
      <c r="CD10" s="101"/>
      <c r="CE10" s="102" t="s">
        <v>128</v>
      </c>
      <c r="CF10" s="103" t="s">
        <v>128</v>
      </c>
      <c r="CG10" s="104" t="s">
        <v>128</v>
      </c>
      <c r="CH10" s="105" t="s">
        <v>128</v>
      </c>
      <c r="CI10" s="92">
        <f>IFERROR((VLOOKUP(CC10,Scoring!$A:$B,2,0))+IF(CE10="y",1,0)+IF(CF10="y",1,0)+IF(CG10="y",1,0)+IF(CH10="y",1,0),0)</f>
        <v>0</v>
      </c>
      <c r="CJ10" s="107"/>
      <c r="CK10" s="108"/>
      <c r="CL10" s="109" t="s">
        <v>128</v>
      </c>
      <c r="CM10" s="110" t="s">
        <v>128</v>
      </c>
      <c r="CN10" s="111" t="s">
        <v>128</v>
      </c>
      <c r="CO10" s="112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107"/>
      <c r="CY10" s="108"/>
      <c r="CZ10" s="109" t="s">
        <v>128</v>
      </c>
      <c r="DA10" s="110" t="s">
        <v>128</v>
      </c>
      <c r="DB10" s="111" t="s">
        <v>128</v>
      </c>
      <c r="DC10" s="112" t="s">
        <v>128</v>
      </c>
      <c r="DD10" s="92">
        <f>IFERROR((VLOOKUP(CX10,Scoring!$A:$B,2,0))+IF(CZ10="y",1,0)+IF(DA10="y",1,0)+IF(DB10="y",1,0)+IF(DC10="y",1,0),0)</f>
        <v>0</v>
      </c>
      <c r="DE10" s="24"/>
      <c r="DF10" s="25"/>
      <c r="DG10" s="26" t="s">
        <v>128</v>
      </c>
      <c r="DH10" s="27" t="s">
        <v>128</v>
      </c>
      <c r="DI10" s="28" t="s">
        <v>128</v>
      </c>
      <c r="DJ10" s="29" t="s">
        <v>128</v>
      </c>
      <c r="DK10" s="85">
        <f>IFERROR((VLOOKUP(DE10,Scoring!$A:$B,2,0))+IF(DG10="y",1,0)+IF(DH10="y",1,0)+IF(DI10="y",1,0)+IF(DJ10="y",1,0),0)</f>
        <v>0</v>
      </c>
      <c r="DL10" s="13">
        <v>0.0</v>
      </c>
    </row>
    <row r="11">
      <c r="A11" s="14" t="s">
        <v>395</v>
      </c>
      <c r="B11" s="1" t="s">
        <v>398</v>
      </c>
      <c r="C11" s="15" t="s">
        <v>397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99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99">
        <f>IFERROR((VLOOKUP(K11,Scoring!$A:$B,2,0))+IF(M11="y",1,0)+IF(N11="y",1,0)+IF(O11="y",1,0)+IF(P11="y",1,0),0)</f>
        <v>0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99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99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99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99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99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99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99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99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99">
        <f>IFERROR((VLOOKUP(BV11,Scoring!$A:$B,2,0))+IF(BX11="y",1,0)+IF(BY11="y",1,0)+IF(BZ11="y",1,0)+IF(CA11="y",1,0),0)</f>
        <v>0</v>
      </c>
      <c r="CC11" s="100"/>
      <c r="CD11" s="101"/>
      <c r="CE11" s="102" t="s">
        <v>128</v>
      </c>
      <c r="CF11" s="103" t="s">
        <v>128</v>
      </c>
      <c r="CG11" s="104" t="s">
        <v>128</v>
      </c>
      <c r="CH11" s="105" t="s">
        <v>128</v>
      </c>
      <c r="CI11" s="106">
        <f>IFERROR((VLOOKUP(CC11,Scoring!$A:$B,2,0))+IF(CE11="y",1,0)+IF(CF11="y",1,0)+IF(CG11="y",1,0)+IF(CH11="y",1,0),0)</f>
        <v>0</v>
      </c>
      <c r="CJ11" s="107"/>
      <c r="CK11" s="108"/>
      <c r="CL11" s="109" t="s">
        <v>128</v>
      </c>
      <c r="CM11" s="110" t="s">
        <v>128</v>
      </c>
      <c r="CN11" s="111" t="s">
        <v>128</v>
      </c>
      <c r="CO11" s="112" t="s">
        <v>128</v>
      </c>
      <c r="CP11" s="106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99">
        <f>IFERROR((VLOOKUP(CQ11,Scoring!$A:$B,2,0))+IF(CS11="y",1,0)+IF(CT11="y",1,0)+IF(CU11="y",1,0)+IF(CV11="y",1,0),0)</f>
        <v>0</v>
      </c>
      <c r="CX11" s="107"/>
      <c r="CY11" s="108"/>
      <c r="CZ11" s="109" t="s">
        <v>128</v>
      </c>
      <c r="DA11" s="110" t="s">
        <v>128</v>
      </c>
      <c r="DB11" s="111" t="s">
        <v>128</v>
      </c>
      <c r="DC11" s="112" t="s">
        <v>128</v>
      </c>
      <c r="DD11" s="106">
        <f>IFERROR((VLOOKUP(CX11,Scoring!$A:$B,2,0))+IF(CZ11="y",1,0)+IF(DA11="y",1,0)+IF(DB11="y",1,0)+IF(DC11="y",1,0),0)</f>
        <v>0</v>
      </c>
      <c r="DE11" s="24"/>
      <c r="DF11" s="25"/>
      <c r="DG11" s="26" t="s">
        <v>128</v>
      </c>
      <c r="DH11" s="27" t="s">
        <v>128</v>
      </c>
      <c r="DI11" s="28" t="s">
        <v>128</v>
      </c>
      <c r="DJ11" s="29" t="s">
        <v>128</v>
      </c>
      <c r="DK11" s="99">
        <f>IFERROR((VLOOKUP(DE11,Scoring!$A:$B,2,0))+IF(DG11="y",1,0)+IF(DH11="y",1,0)+IF(DI11="y",1,0)+IF(DJ11="y",1,0),0)</f>
        <v>0</v>
      </c>
      <c r="DL11" s="13">
        <v>0.0</v>
      </c>
    </row>
    <row r="12">
      <c r="A12" s="33" t="s">
        <v>399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85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85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85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113"/>
      <c r="CD12" s="114"/>
      <c r="CE12" s="115" t="s">
        <v>128</v>
      </c>
      <c r="CF12" s="116" t="s">
        <v>128</v>
      </c>
      <c r="CG12" s="117" t="s">
        <v>128</v>
      </c>
      <c r="CH12" s="118" t="s">
        <v>128</v>
      </c>
      <c r="CI12" s="92">
        <f>IFERROR((VLOOKUP(CC12,Scoring!$A:$B,2,0))+IF(CE12="y",1,0)+IF(CF12="y",1,0)+IF(CG12="y",1,0)+IF(CH12="y",1,0),0)</f>
        <v>0</v>
      </c>
      <c r="CJ12" s="119"/>
      <c r="CK12" s="120"/>
      <c r="CL12" s="121" t="s">
        <v>128</v>
      </c>
      <c r="CM12" s="122" t="s">
        <v>128</v>
      </c>
      <c r="CN12" s="123" t="s">
        <v>128</v>
      </c>
      <c r="CO12" s="124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119"/>
      <c r="CY12" s="120"/>
      <c r="CZ12" s="121" t="s">
        <v>128</v>
      </c>
      <c r="DA12" s="122" t="s">
        <v>128</v>
      </c>
      <c r="DB12" s="123" t="s">
        <v>128</v>
      </c>
      <c r="DC12" s="124" t="s">
        <v>128</v>
      </c>
      <c r="DD12" s="92">
        <f>IFERROR((VLOOKUP(CX12,Scoring!$A:$B,2,0))+IF(CZ12="y",1,0)+IF(DA12="y",1,0)+IF(DB12="y",1,0)+IF(DC12="y",1,0),0)</f>
        <v>0</v>
      </c>
      <c r="DE12" s="36"/>
      <c r="DF12" s="37"/>
      <c r="DG12" s="38" t="s">
        <v>128</v>
      </c>
      <c r="DH12" s="39" t="s">
        <v>128</v>
      </c>
      <c r="DI12" s="40" t="s">
        <v>128</v>
      </c>
      <c r="DJ12" s="41" t="s">
        <v>128</v>
      </c>
      <c r="DK12" s="85">
        <f>IFERROR((VLOOKUP(DE12,Scoring!$A:$B,2,0))+IF(DG12="y",1,0)+IF(DH12="y",1,0)+IF(DI12="y",1,0)+IF(DJ12="y",1,0),0)</f>
        <v>0</v>
      </c>
      <c r="DL12" s="13">
        <v>0.0</v>
      </c>
    </row>
    <row r="13">
      <c r="A13" s="14" t="s">
        <v>399</v>
      </c>
      <c r="B13" s="1" t="s">
        <v>400</v>
      </c>
      <c r="C13" s="15" t="s">
        <v>397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99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99">
        <f>IFERROR((VLOOKUP(K13,Scoring!$A:$B,2,0))+IF(M13="y",1,0)+IF(N13="y",1,0)+IF(O13="y",1,0)+IF(P13="y",1,0),0)</f>
        <v>0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99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99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99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99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99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99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99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99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99">
        <f>IFERROR((VLOOKUP(BV13,Scoring!$A:$B,2,0))+IF(BX13="y",1,0)+IF(BY13="y",1,0)+IF(BZ13="y",1,0)+IF(CA13="y",1,0),0)</f>
        <v>0</v>
      </c>
      <c r="CC13" s="100"/>
      <c r="CD13" s="101"/>
      <c r="CE13" s="102" t="s">
        <v>128</v>
      </c>
      <c r="CF13" s="103" t="s">
        <v>128</v>
      </c>
      <c r="CG13" s="104" t="s">
        <v>128</v>
      </c>
      <c r="CH13" s="105" t="s">
        <v>128</v>
      </c>
      <c r="CI13" s="106">
        <f>IFERROR((VLOOKUP(CC13,Scoring!$A:$B,2,0))+IF(CE13="y",1,0)+IF(CF13="y",1,0)+IF(CG13="y",1,0)+IF(CH13="y",1,0),0)</f>
        <v>0</v>
      </c>
      <c r="CJ13" s="107"/>
      <c r="CK13" s="108"/>
      <c r="CL13" s="109" t="s">
        <v>128</v>
      </c>
      <c r="CM13" s="110" t="s">
        <v>128</v>
      </c>
      <c r="CN13" s="111" t="s">
        <v>128</v>
      </c>
      <c r="CO13" s="112" t="s">
        <v>128</v>
      </c>
      <c r="CP13" s="106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99">
        <f>IFERROR((VLOOKUP(CQ13,Scoring!$A:$B,2,0))+IF(CS13="y",1,0)+IF(CT13="y",1,0)+IF(CU13="y",1,0)+IF(CV13="y",1,0),0)</f>
        <v>0</v>
      </c>
      <c r="CX13" s="107"/>
      <c r="CY13" s="108"/>
      <c r="CZ13" s="109" t="s">
        <v>128</v>
      </c>
      <c r="DA13" s="110" t="s">
        <v>128</v>
      </c>
      <c r="DB13" s="111" t="s">
        <v>128</v>
      </c>
      <c r="DC13" s="112" t="s">
        <v>128</v>
      </c>
      <c r="DD13" s="106">
        <f>IFERROR((VLOOKUP(CX13,Scoring!$A:$B,2,0))+IF(CZ13="y",1,0)+IF(DA13="y",1,0)+IF(DB13="y",1,0)+IF(DC13="y",1,0),0)</f>
        <v>0</v>
      </c>
      <c r="DE13" s="24"/>
      <c r="DF13" s="25"/>
      <c r="DG13" s="26" t="s">
        <v>128</v>
      </c>
      <c r="DH13" s="27" t="s">
        <v>128</v>
      </c>
      <c r="DI13" s="28" t="s">
        <v>128</v>
      </c>
      <c r="DJ13" s="29" t="s">
        <v>128</v>
      </c>
      <c r="DK13" s="99">
        <f>IFERROR((VLOOKUP(DE13,Scoring!$A:$B,2,0))+IF(DG13="y",1,0)+IF(DH13="y",1,0)+IF(DI13="y",1,0)+IF(DJ13="y",1,0),0)</f>
        <v>0</v>
      </c>
      <c r="DL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85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85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85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113"/>
      <c r="CD14" s="114"/>
      <c r="CE14" s="115" t="s">
        <v>128</v>
      </c>
      <c r="CF14" s="116" t="s">
        <v>128</v>
      </c>
      <c r="CG14" s="117" t="s">
        <v>128</v>
      </c>
      <c r="CH14" s="118" t="s">
        <v>128</v>
      </c>
      <c r="CI14" s="92">
        <f>IFERROR((VLOOKUP(CC14,Scoring!$A:$B,2,0))+IF(CE14="y",1,0)+IF(CF14="y",1,0)+IF(CG14="y",1,0)+IF(CH14="y",1,0),0)</f>
        <v>0</v>
      </c>
      <c r="CJ14" s="119"/>
      <c r="CK14" s="120"/>
      <c r="CL14" s="121" t="s">
        <v>128</v>
      </c>
      <c r="CM14" s="122" t="s">
        <v>128</v>
      </c>
      <c r="CN14" s="123" t="s">
        <v>128</v>
      </c>
      <c r="CO14" s="124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119"/>
      <c r="CY14" s="120"/>
      <c r="CZ14" s="121" t="s">
        <v>128</v>
      </c>
      <c r="DA14" s="122" t="s">
        <v>128</v>
      </c>
      <c r="DB14" s="123" t="s">
        <v>128</v>
      </c>
      <c r="DC14" s="124" t="s">
        <v>128</v>
      </c>
      <c r="DD14" s="92">
        <f>IFERROR((VLOOKUP(CX14,Scoring!$A:$B,2,0))+IF(CZ14="y",1,0)+IF(DA14="y",1,0)+IF(DB14="y",1,0)+IF(DC14="y",1,0),0)</f>
        <v>0</v>
      </c>
      <c r="DE14" s="36"/>
      <c r="DF14" s="37"/>
      <c r="DG14" s="38" t="s">
        <v>128</v>
      </c>
      <c r="DH14" s="39" t="s">
        <v>128</v>
      </c>
      <c r="DI14" s="40" t="s">
        <v>128</v>
      </c>
      <c r="DJ14" s="41" t="s">
        <v>128</v>
      </c>
      <c r="DK14" s="85">
        <f>IFERROR((VLOOKUP(DE14,Scoring!$A:$B,2,0))+IF(DG14="y",1,0)+IF(DH14="y",1,0)+IF(DI14="y",1,0)+IF(DJ14="y",1,0),0)</f>
        <v>0</v>
      </c>
      <c r="DL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99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99">
        <f>IFERROR((VLOOKUP(K15,Scoring!$A:$B,2,0))+IF(M15="y",1,0)+IF(N15="y",1,0)+IF(O15="y",1,0)+IF(P15="y",1,0),0)</f>
        <v>0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99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99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99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99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99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99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99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99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99">
        <f>IFERROR((VLOOKUP(BV15,Scoring!$A:$B,2,0))+IF(BX15="y",1,0)+IF(BY15="y",1,0)+IF(BZ15="y",1,0)+IF(CA15="y",1,0),0)</f>
        <v>0</v>
      </c>
      <c r="CC15" s="125"/>
      <c r="CD15" s="126"/>
      <c r="CE15" s="127" t="s">
        <v>128</v>
      </c>
      <c r="CF15" s="128" t="s">
        <v>128</v>
      </c>
      <c r="CG15" s="129" t="s">
        <v>128</v>
      </c>
      <c r="CH15" s="130" t="s">
        <v>128</v>
      </c>
      <c r="CI15" s="106">
        <f>IFERROR((VLOOKUP(CC15,Scoring!$A:$B,2,0))+IF(CE15="y",1,0)+IF(CF15="y",1,0)+IF(CG15="y",1,0)+IF(CH15="y",1,0),0)</f>
        <v>0</v>
      </c>
      <c r="CJ15" s="131"/>
      <c r="CK15" s="132"/>
      <c r="CL15" s="133" t="s">
        <v>128</v>
      </c>
      <c r="CM15" s="134" t="s">
        <v>128</v>
      </c>
      <c r="CN15" s="135" t="s">
        <v>128</v>
      </c>
      <c r="CO15" s="136" t="s">
        <v>128</v>
      </c>
      <c r="CP15" s="106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99">
        <f>IFERROR((VLOOKUP(CQ15,Scoring!$A:$B,2,0))+IF(CS15="y",1,0)+IF(CT15="y",1,0)+IF(CU15="y",1,0)+IF(CV15="y",1,0),0)</f>
        <v>0</v>
      </c>
      <c r="CX15" s="131"/>
      <c r="CY15" s="132"/>
      <c r="CZ15" s="133" t="s">
        <v>128</v>
      </c>
      <c r="DA15" s="134" t="s">
        <v>128</v>
      </c>
      <c r="DB15" s="135" t="s">
        <v>128</v>
      </c>
      <c r="DC15" s="136" t="s">
        <v>128</v>
      </c>
      <c r="DD15" s="106">
        <f>IFERROR((VLOOKUP(CX15,Scoring!$A:$B,2,0))+IF(CZ15="y",1,0)+IF(DA15="y",1,0)+IF(DB15="y",1,0)+IF(DC15="y",1,0),0)</f>
        <v>0</v>
      </c>
      <c r="DE15" s="48"/>
      <c r="DF15" s="49"/>
      <c r="DG15" s="50" t="s">
        <v>128</v>
      </c>
      <c r="DH15" s="51" t="s">
        <v>128</v>
      </c>
      <c r="DI15" s="52" t="s">
        <v>128</v>
      </c>
      <c r="DJ15" s="53" t="s">
        <v>128</v>
      </c>
      <c r="DK15" s="99">
        <f>IFERROR((VLOOKUP(DE15,Scoring!$A:$B,2,0))+IF(DG15="y",1,0)+IF(DH15="y",1,0)+IF(DI15="y",1,0)+IF(DJ15="y",1,0),0)</f>
        <v>0</v>
      </c>
      <c r="DL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85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85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85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100"/>
      <c r="CD16" s="101"/>
      <c r="CE16" s="102" t="s">
        <v>128</v>
      </c>
      <c r="CF16" s="103" t="s">
        <v>128</v>
      </c>
      <c r="CG16" s="104" t="s">
        <v>128</v>
      </c>
      <c r="CH16" s="105" t="s">
        <v>128</v>
      </c>
      <c r="CI16" s="92">
        <f>IFERROR((VLOOKUP(CC16,Scoring!$A:$B,2,0))+IF(CE16="y",1,0)+IF(CF16="y",1,0)+IF(CG16="y",1,0)+IF(CH16="y",1,0),0)</f>
        <v>0</v>
      </c>
      <c r="CJ16" s="107"/>
      <c r="CK16" s="108"/>
      <c r="CL16" s="109" t="s">
        <v>128</v>
      </c>
      <c r="CM16" s="110" t="s">
        <v>128</v>
      </c>
      <c r="CN16" s="111" t="s">
        <v>128</v>
      </c>
      <c r="CO16" s="112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107"/>
      <c r="CY16" s="108"/>
      <c r="CZ16" s="109" t="s">
        <v>128</v>
      </c>
      <c r="DA16" s="110" t="s">
        <v>128</v>
      </c>
      <c r="DB16" s="111" t="s">
        <v>128</v>
      </c>
      <c r="DC16" s="112" t="s">
        <v>128</v>
      </c>
      <c r="DD16" s="92">
        <f>IFERROR((VLOOKUP(CX16,Scoring!$A:$B,2,0))+IF(CZ16="y",1,0)+IF(DA16="y",1,0)+IF(DB16="y",1,0)+IF(DC16="y",1,0),0)</f>
        <v>0</v>
      </c>
      <c r="DE16" s="24"/>
      <c r="DF16" s="25"/>
      <c r="DG16" s="26" t="s">
        <v>128</v>
      </c>
      <c r="DH16" s="27" t="s">
        <v>128</v>
      </c>
      <c r="DI16" s="28" t="s">
        <v>128</v>
      </c>
      <c r="DJ16" s="29" t="s">
        <v>128</v>
      </c>
      <c r="DK16" s="85">
        <f>IFERROR((VLOOKUP(DE16,Scoring!$A:$B,2,0))+IF(DG16="y",1,0)+IF(DH16="y",1,0)+IF(DI16="y",1,0)+IF(DJ16="y",1,0),0)</f>
        <v>0</v>
      </c>
      <c r="DL16" s="13">
        <v>0.0</v>
      </c>
    </row>
    <row r="17">
      <c r="A17" s="57" t="s">
        <v>41</v>
      </c>
      <c r="B17" s="58" t="s">
        <v>401</v>
      </c>
      <c r="C17" s="59" t="s">
        <v>397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7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7">
        <f>IFERROR((VLOOKUP(K17,Scoring!$A:$B,2,0))+IF(M17="y",1,0)+IF(N17="y",1,0)+IF(O17="y",1,0)+IF(P17="y",1,0),0)</f>
        <v>0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137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7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7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137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7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7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137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7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7">
        <f>IFERROR((VLOOKUP(BV17,Scoring!$A:$B,2,0))+IF(BX17="y",1,0)+IF(BY17="y",1,0)+IF(BZ17="y",1,0)+IF(CA17="y",1,0),0)</f>
        <v>0</v>
      </c>
      <c r="CC17" s="138"/>
      <c r="CD17" s="139"/>
      <c r="CE17" s="140" t="s">
        <v>128</v>
      </c>
      <c r="CF17" s="141" t="s">
        <v>128</v>
      </c>
      <c r="CG17" s="142" t="s">
        <v>128</v>
      </c>
      <c r="CH17" s="143" t="s">
        <v>128</v>
      </c>
      <c r="CI17" s="144">
        <f>IFERROR((VLOOKUP(CC17,Scoring!$A:$B,2,0))+IF(CE17="y",1,0)+IF(CF17="y",1,0)+IF(CG17="y",1,0)+IF(CH17="y",1,0),0)</f>
        <v>0</v>
      </c>
      <c r="CJ17" s="145"/>
      <c r="CK17" s="146"/>
      <c r="CL17" s="147" t="s">
        <v>128</v>
      </c>
      <c r="CM17" s="148" t="s">
        <v>128</v>
      </c>
      <c r="CN17" s="149" t="s">
        <v>128</v>
      </c>
      <c r="CO17" s="150" t="s">
        <v>128</v>
      </c>
      <c r="CP17" s="144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7">
        <f>IFERROR((VLOOKUP(CQ17,Scoring!$A:$B,2,0))+IF(CS17="y",1,0)+IF(CT17="y",1,0)+IF(CU17="y",1,0)+IF(CV17="y",1,0),0)</f>
        <v>0</v>
      </c>
      <c r="CX17" s="145"/>
      <c r="CY17" s="146"/>
      <c r="CZ17" s="147" t="s">
        <v>128</v>
      </c>
      <c r="DA17" s="148" t="s">
        <v>128</v>
      </c>
      <c r="DB17" s="149" t="s">
        <v>128</v>
      </c>
      <c r="DC17" s="150" t="s">
        <v>128</v>
      </c>
      <c r="DD17" s="144">
        <f>IFERROR((VLOOKUP(CX17,Scoring!$A:$B,2,0))+IF(CZ17="y",1,0)+IF(DA17="y",1,0)+IF(DB17="y",1,0)+IF(DC17="y",1,0),0)</f>
        <v>0</v>
      </c>
      <c r="DE17" s="60"/>
      <c r="DF17" s="61"/>
      <c r="DG17" s="62" t="s">
        <v>128</v>
      </c>
      <c r="DH17" s="63" t="s">
        <v>128</v>
      </c>
      <c r="DI17" s="64" t="s">
        <v>128</v>
      </c>
      <c r="DJ17" s="65" t="s">
        <v>128</v>
      </c>
      <c r="DK17" s="137">
        <f>IFERROR((VLOOKUP(DE17,Scoring!$A:$B,2,0))+IF(DG17="y",1,0)+IF(DH17="y",1,0)+IF(DI17="y",1,0)+IF(DJ17="y",1,0),0)</f>
        <v>0</v>
      </c>
      <c r="DL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292</v>
      </c>
    </row>
    <row r="3">
      <c r="A3" s="1" t="s">
        <v>402</v>
      </c>
      <c r="B3" s="69" t="s">
        <v>404</v>
      </c>
      <c r="C3" s="1" t="s">
        <v>292</v>
      </c>
    </row>
    <row r="4">
      <c r="A4" s="1" t="s">
        <v>405</v>
      </c>
      <c r="B4" s="69" t="s">
        <v>406</v>
      </c>
      <c r="C4" s="1" t="s">
        <v>292</v>
      </c>
    </row>
    <row r="5">
      <c r="A5" s="1" t="s">
        <v>407</v>
      </c>
      <c r="B5" s="69" t="s">
        <v>408</v>
      </c>
      <c r="C5" s="1" t="s">
        <v>292</v>
      </c>
    </row>
    <row r="6">
      <c r="A6" s="1" t="s">
        <v>409</v>
      </c>
      <c r="B6" s="69" t="s">
        <v>410</v>
      </c>
      <c r="C6" s="1" t="s">
        <v>292</v>
      </c>
    </row>
    <row r="7">
      <c r="A7" s="1" t="s">
        <v>411</v>
      </c>
      <c r="B7" s="69" t="s">
        <v>412</v>
      </c>
      <c r="C7" s="1" t="s">
        <v>292</v>
      </c>
    </row>
    <row r="8">
      <c r="A8" s="1" t="s">
        <v>413</v>
      </c>
      <c r="B8" s="69" t="s">
        <v>414</v>
      </c>
      <c r="C8" s="1" t="s">
        <v>292</v>
      </c>
    </row>
    <row r="9">
      <c r="A9" s="1" t="s">
        <v>415</v>
      </c>
      <c r="B9" s="69" t="s">
        <v>416</v>
      </c>
      <c r="C9" s="1" t="s">
        <v>292</v>
      </c>
    </row>
    <row r="10">
      <c r="A10" s="1" t="s">
        <v>417</v>
      </c>
      <c r="B10" s="69" t="s">
        <v>418</v>
      </c>
      <c r="C10" s="1" t="s">
        <v>292</v>
      </c>
    </row>
    <row r="11">
      <c r="A11" s="1" t="s">
        <v>419</v>
      </c>
      <c r="B11" s="69" t="s">
        <v>420</v>
      </c>
      <c r="C11" s="1" t="s">
        <v>292</v>
      </c>
    </row>
    <row r="12">
      <c r="A12" s="1" t="s">
        <v>421</v>
      </c>
      <c r="B12" s="69" t="s">
        <v>422</v>
      </c>
      <c r="C12" s="1" t="s">
        <v>292</v>
      </c>
    </row>
    <row r="13">
      <c r="A13" s="1" t="s">
        <v>423</v>
      </c>
      <c r="B13" s="69" t="s">
        <v>424</v>
      </c>
      <c r="C13" s="1" t="s">
        <v>292</v>
      </c>
    </row>
    <row r="14">
      <c r="A14" s="1" t="s">
        <v>425</v>
      </c>
      <c r="B14" s="69" t="s">
        <v>426</v>
      </c>
      <c r="C14" s="1" t="s">
        <v>292</v>
      </c>
    </row>
    <row r="15">
      <c r="A15" s="1" t="s">
        <v>427</v>
      </c>
      <c r="B15" s="69" t="s">
        <v>428</v>
      </c>
      <c r="C15" s="1" t="s">
        <v>292</v>
      </c>
    </row>
    <row r="16">
      <c r="A16" s="1" t="s">
        <v>429</v>
      </c>
      <c r="B16" s="69" t="s">
        <v>430</v>
      </c>
      <c r="C16" s="1" t="s">
        <v>292</v>
      </c>
    </row>
    <row r="17">
      <c r="A17" s="1" t="s">
        <v>150</v>
      </c>
      <c r="B17" s="69" t="s">
        <v>430</v>
      </c>
      <c r="C17" s="1" t="s">
        <v>292</v>
      </c>
    </row>
    <row r="18">
      <c r="A18" s="1" t="s">
        <v>154</v>
      </c>
      <c r="B18" s="69" t="s">
        <v>431</v>
      </c>
      <c r="C18" s="1" t="s">
        <v>292</v>
      </c>
    </row>
    <row r="19">
      <c r="A19" s="1" t="s">
        <v>432</v>
      </c>
      <c r="B19" s="69" t="s">
        <v>433</v>
      </c>
      <c r="C19" s="1" t="s">
        <v>292</v>
      </c>
    </row>
    <row r="20">
      <c r="A20" s="1" t="s">
        <v>152</v>
      </c>
      <c r="B20" s="69" t="s">
        <v>433</v>
      </c>
      <c r="C20" s="1" t="s">
        <v>292</v>
      </c>
    </row>
    <row r="21">
      <c r="A21" s="1" t="s">
        <v>294</v>
      </c>
      <c r="B21" s="69" t="s">
        <v>434</v>
      </c>
      <c r="C21" s="1" t="s">
        <v>292</v>
      </c>
    </row>
  </sheetData>
  <drawing r:id="rId1"/>
</worksheet>
</file>