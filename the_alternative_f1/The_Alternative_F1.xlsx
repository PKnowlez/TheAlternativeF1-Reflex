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<sst xmlns="http://schemas.openxmlformats.org/spreadsheetml/2006/main" count="3166" uniqueCount="435">
  <si>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</si>
  <si>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</si>
  <si>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</si>
  <si>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</si>
  <si>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</si>
  <si>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</si>
  <si>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</si>
  <si>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</si>
  <si>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</si>
  <si>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</si>
  <si>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</si>
  <si>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</si>
  <si>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</si>
  <si>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</si>
  <si>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</si>
  <si>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</si>
  <si>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</si>
  <si>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</si>
  <si>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</si>
  <si>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</si>
  <si>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</si>
  <si>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</si>
  <si>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</si>
  <si>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</si>
  <si>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</si>
  <si>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</si>
  <si>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</si>
  <si>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</si>
  <si>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</si>
  <si>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</si>
  <si>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</si>
  <si>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</si>
  <si>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</si>
  <si>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</si>
  <si>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</si>
  <si>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</si>
  <si>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</si>
  <si>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</si>
  <si>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</si>
  <si>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</si>
  <si>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</si>
  <si>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</si>
  <si>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</si>
  <si>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</si>
  <si>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</si>
  <si>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</si>
  <si>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</si>
  <si>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</si>
  <si>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</si>
  <si>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</si>
  <si>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</si>
  <si>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</si>
  <si>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</si>
  <si>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</si>
  <si>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</si>
  <si>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</si>
  <si>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</si>
  <si>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</si>
  <si>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</si>
  <si>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</si>
  <si>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</si>
  <si>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</si>
  <si>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</si>
  <si>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</si>
  <si>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</si>
  <si>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</si>
  <si>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</si>
  <si>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</si>
  <si>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</si>
  <si>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</si>
  <si>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</si>
  <si>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</si>
  <si>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</si>
  <si>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</si>
  <si>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</si>
  <si>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</si>
  <si>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</si>
  <si>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</si>
  <si>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</si>
  <si>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</si>
  <si>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</si>
  <si>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</si>
  <si>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</si>
  <si>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</si>
  <si>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</si>
  <si>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</si>
  <si>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</si>
  <si>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</si>
  <si>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</si>
  <si>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</si>
  <si>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</si>
  <si>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</si>
  <si>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</si>
  <si>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</si>
  <si>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</si>
  <si>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</si>
  <si>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</si>
  <si>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</si>
  <si>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</si>
  <si>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</si>
  <si>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</si>
  <si>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</si>
  <si>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</si>
  <si>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</si>
  <si>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</si>
  <si>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</si>
  <si>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</si>
  <si>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</si>
  <si>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</si>
  <si>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</si>
  <si>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</si>
  <si>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</si>
  <si>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</si>
  <si>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</si>
  <si>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</si>
  <si>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</si>
  <si>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</si>
  <si>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</si>
  <si>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</si>
  <si>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</si>
  <si>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</si>
  <si>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</si>
  <si>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</si>
  <si>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</si>
  <si>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</si>
  <si>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</si>
  <si>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</si>
  <si>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</si>
  <si>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</si>
  <si>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</si>
  <si>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</si>
  <si>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</si>
  <si>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</si>
  <si>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</si>
  <si>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</si>
  <si>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</si>
  <si>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</si>
  <si>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</si>
  <si>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</si>
  <si>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</si>
  <si>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</si>
  <si>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</si>
  <si>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</si>
  <si>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</si>
  <si>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</si>
  <si>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</si>
  <si>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</si>
  <si>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</si>
  <si>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</si>
  <si>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</si>
  <si>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</si>
  <si>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</si>
  <si>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</si>
  <si>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</si>
  <si>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</si>
  <si>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</si>
  <si>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</si>
  <si>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</si>
  <si>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</si>
  <si>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</si>
  <si>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</si>
  <si>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</si>
  <si>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</si>
  <si>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</si>
  <si>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</si>
  <si>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</si>
  <si>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</si>
  <si>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</si>
  <si>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</si>
  <si>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</si>
  <si>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</si>
  <si>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</si>
  <si>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</si>
  <si>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</si>
  <si>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</si>
  <si>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</si>
  <si>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</si>
  <si>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</si>
  <si>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</si>
  <si>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</si>
  <si>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</si>
  <si>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</si>
  <si>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</si>
  <si>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</si>
  <si>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</si>
  <si>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</si>
  <si>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</si>
  <si>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</si>
  <si>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</si>
  <si>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</si>
  <si>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</si>
  <si>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</si>
  <si>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</si>
  <si>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</si>
  <si>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</si>
  <si>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</si>
  <si>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</si>
  <si>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</si>
  <si>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</si>
  <si>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</si>
  <si>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</si>
  <si>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</si>
  <si>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</si>
  <si>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</si>
  <si>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</si>
  <si>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</si>
  <si>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</si>
  <si>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</si>
  <si>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</si>
  <si>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</si>
  <si>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</si>
  <si>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</si>
  <si>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</si>
  <si>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</si>
  <si>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</si>
  <si>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</si>
  <si>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</si>
  <si>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</si>
  <si>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</si>
  <si>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</si>
  <si>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</si>
  <si>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</si>
  <si>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</si>
  <si>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</si>
  <si>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</si>
  <si>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</si>
  <si>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</si>
  <si>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</si>
  <si>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</si>
  <si>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</si>
  <si>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</si>
  <si>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</si>
  <si>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</si>
  <si>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</si>
  <si>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</si>
  <si>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</si>
  <si>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</si>
  <si>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</si>
  <si>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</si>
  <si>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</si>
  <si>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</si>
  <si>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</si>
  <si>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</si>
  <si>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</si>
  <si>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</si>
  <si>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</si>
  <si>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</si>
  <si>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</si>
  <si>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</si>
  <si>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</si>
  <si>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</si>
  <si>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</si>
  <si>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</si>
  <si>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</si>
  <si>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</si>
  <si>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</si>
  <si>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</si>
  <si>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</si>
  <si>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</si>
  <si>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</si>
  <si>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</si>
  <si>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</si>
  <si>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</si>
  <si>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</si>
  <si>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</si>
  <si>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</si>
  <si>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</si>
  <si>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</si>
  <si>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</si>
  <si>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</si>
  <si>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</si>
  <si>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</si>
  <si>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</si>
  <si>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</si>
  <si>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</si>
  <si>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</si>
  <si>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</si>
  <si>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</si>
  <si>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</si>
  <si>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</si>
  <si>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</si>
  <si>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</si>
  <si>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</si>
  <si>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</si>
  <si>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</si>
  <si>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</si>
  <si>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</si>
  <si>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</si>
  <si>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</si>
  <si>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</si>
  <si>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</si>
  <si>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</si>
  <si>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</si>
  <si>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</si>
  <si>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</si>
  <si>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</si>
  <si>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W1Place</t>
  </si>
  <si>
    <t>W1Qualifying</t>
  </si>
  <si>
    <t>W1FastestLap</t>
  </si>
  <si>
    <t>W1DOTD</t>
  </si>
  <si>
    <t>W1MOT</t>
  </si>
  <si>
    <t>W1CD</t>
  </si>
  <si>
    <t>W1Points</t>
  </si>
  <si>
    <t>W2Place</t>
  </si>
  <si>
    <t>W2Qualifying</t>
  </si>
  <si>
    <t>W2FastestLap</t>
  </si>
  <si>
    <t>W2DOTD</t>
  </si>
  <si>
    <t>W2MOT</t>
  </si>
  <si>
    <t>W2CD</t>
  </si>
  <si>
    <t>W2Points</t>
  </si>
  <si>
    <t>W3Place</t>
  </si>
  <si>
    <t>W3Qualifying</t>
  </si>
  <si>
    <t>W3FastestLap</t>
  </si>
  <si>
    <t>W3DOTD</t>
  </si>
  <si>
    <t>W3MOT</t>
  </si>
  <si>
    <t>W3CD</t>
  </si>
  <si>
    <t>W3Points</t>
  </si>
  <si>
    <t>W4Place</t>
  </si>
  <si>
    <t>W4Qualifying</t>
  </si>
  <si>
    <t>W4FastestLap</t>
  </si>
  <si>
    <t>W4DOTD</t>
  </si>
  <si>
    <t>W4MOT</t>
  </si>
  <si>
    <t>W4CD</t>
  </si>
  <si>
    <t>W4Points</t>
  </si>
  <si>
    <t>W5Place</t>
  </si>
  <si>
    <t>W5Qualifying</t>
  </si>
  <si>
    <t>W5FastestLap</t>
  </si>
  <si>
    <t>W5DOTD</t>
  </si>
  <si>
    <t>W5MOT</t>
  </si>
  <si>
    <t>W5CD</t>
  </si>
  <si>
    <t>W5Points</t>
  </si>
  <si>
    <t>W6Place</t>
  </si>
  <si>
    <t>W6Qualifying</t>
  </si>
  <si>
    <t>W6FastestLap</t>
  </si>
  <si>
    <t>W6DOTD</t>
  </si>
  <si>
    <t>W6MOT</t>
  </si>
  <si>
    <t>W6CD</t>
  </si>
  <si>
    <t>W6Points</t>
  </si>
  <si>
    <t>W7Place</t>
  </si>
  <si>
    <t>W7Qualifying</t>
  </si>
  <si>
    <t>W7FastestLap</t>
  </si>
  <si>
    <t>W7DOTD</t>
  </si>
  <si>
    <t>W7MOT</t>
  </si>
  <si>
    <t>W7CD</t>
  </si>
  <si>
    <t>W7Points</t>
  </si>
  <si>
    <t>W8Place</t>
  </si>
  <si>
    <t>W8Qualifying</t>
  </si>
  <si>
    <t>W8FastestLap</t>
  </si>
  <si>
    <t>W8DOTD</t>
  </si>
  <si>
    <t>W8MOT</t>
  </si>
  <si>
    <t>W8CD</t>
  </si>
  <si>
    <t>W8Points</t>
  </si>
  <si>
    <t>W9Place</t>
  </si>
  <si>
    <t>W9Qualifying</t>
  </si>
  <si>
    <t>W9FastestLap</t>
  </si>
  <si>
    <t>W9DOTD</t>
  </si>
  <si>
    <t>W9MOT</t>
  </si>
  <si>
    <t>W9CD</t>
  </si>
  <si>
    <t>W9Points</t>
  </si>
  <si>
    <t>W-10Place</t>
  </si>
  <si>
    <t>W-10Qualifying</t>
  </si>
  <si>
    <t>W-10FastestLap</t>
  </si>
  <si>
    <t>W-10DOTD</t>
  </si>
  <si>
    <t>W-10MOT</t>
  </si>
  <si>
    <t>W-10CD</t>
  </si>
  <si>
    <t>W-10Points</t>
  </si>
  <si>
    <t>W-11Place</t>
  </si>
  <si>
    <t>W-11Qualifying</t>
  </si>
  <si>
    <t>W-11FastestLap</t>
  </si>
  <si>
    <t>W-11DOTD</t>
  </si>
  <si>
    <t>W-11MOT</t>
  </si>
  <si>
    <t>W-11CD</t>
  </si>
  <si>
    <t>W-11Points</t>
  </si>
  <si>
    <t>W-12Place</t>
  </si>
  <si>
    <t>W-12Qualifying</t>
  </si>
  <si>
    <t>W-12FastestLap</t>
  </si>
  <si>
    <t>W-12DOTD</t>
  </si>
  <si>
    <t>W-12MOT</t>
  </si>
  <si>
    <t>W-12CD</t>
  </si>
  <si>
    <t>W-12Points</t>
  </si>
  <si>
    <t>W-13Place</t>
  </si>
  <si>
    <t>W-13Qualifying</t>
  </si>
  <si>
    <t>W-13FastestLap</t>
  </si>
  <si>
    <t>W-13DOTD</t>
  </si>
  <si>
    <t>W-13MOT</t>
  </si>
  <si>
    <t>W-13CD</t>
  </si>
  <si>
    <t>W-13Points</t>
  </si>
  <si>
    <t>W-14Place</t>
  </si>
  <si>
    <t>W-14Qualifying</t>
  </si>
  <si>
    <t>W-14FastestLap</t>
  </si>
  <si>
    <t>W-14DOTD</t>
  </si>
  <si>
    <t>W-14MOT</t>
  </si>
  <si>
    <t>W-14CD</t>
  </si>
  <si>
    <t>W-14Points</t>
  </si>
  <si>
    <t>Grayson</t>
  </si>
  <si>
    <t>-</t>
  </si>
  <si>
    <t>Cadillac</t>
  </si>
  <si>
    <t>Haas</t>
  </si>
  <si>
    <t>TBD1</t>
  </si>
  <si>
    <t>Audi</t>
  </si>
  <si>
    <t>TBD2</t>
  </si>
  <si>
    <t>Randy</t>
  </si>
  <si>
    <t>Pre-Season: TBD</t>
  </si>
  <si>
    <t>8/12/2026</t>
  </si>
  <si>
    <t>8/19/2026</t>
  </si>
  <si>
    <t>8/26/2026</t>
  </si>
  <si>
    <t>W1</t>
  </si>
  <si>
    <t>9/9/2026</t>
  </si>
  <si>
    <t>W2</t>
  </si>
  <si>
    <t>9/16/2026</t>
  </si>
  <si>
    <t>W3</t>
  </si>
  <si>
    <t>9/30/2026</t>
  </si>
  <si>
    <t>W4</t>
  </si>
  <si>
    <t>10/7/2026</t>
  </si>
  <si>
    <t>W5</t>
  </si>
  <si>
    <t>10/14/2026</t>
  </si>
  <si>
    <t>W6</t>
  </si>
  <si>
    <t>10/28/2026</t>
  </si>
  <si>
    <t>W7</t>
  </si>
  <si>
    <t>11/4/2026</t>
  </si>
  <si>
    <t>W8</t>
  </si>
  <si>
    <t>11/18/2026</t>
  </si>
  <si>
    <t>W9</t>
  </si>
  <si>
    <t>12/2/2026</t>
  </si>
  <si>
    <t>W-10</t>
  </si>
  <si>
    <t>12/9/2026</t>
  </si>
  <si>
    <t>W-11</t>
  </si>
  <si>
    <t>12/30/2026</t>
  </si>
  <si>
    <t>W-12</t>
  </si>
  <si>
    <t>1/6/2027</t>
  </si>
  <si>
    <t>W-13</t>
  </si>
  <si>
    <t>1/13/2027</t>
  </si>
  <si>
    <t>W-14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</si>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</sst>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8" fillId="8" fontId="2" numFmtId="0" xfId="0" applyBorder="1" applyFont="1"/>
    <xf borderId="14" fillId="8" fontId="2" numFmtId="0" xfId="0" applyBorder="1" applyFont="1"/>
    <xf borderId="17" fillId="8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296</v>
      </c>
      <c r="E1" s="7" t="s">
        <v>297</v>
      </c>
      <c r="F1" s="8" t="s">
        <v>298</v>
      </c>
      <c r="G1" s="9" t="s">
        <v>299</v>
      </c>
      <c r="H1" s="10" t="s">
        <v>300</v>
      </c>
      <c r="I1" s="11" t="s">
        <v>301</v>
      </c>
      <c r="J1" s="70" t="s">
        <v>302</v>
      </c>
      <c r="K1" s="6" t="s">
        <v>303</v>
      </c>
      <c r="L1" s="7" t="s">
        <v>304</v>
      </c>
      <c r="M1" s="8" t="s">
        <v>305</v>
      </c>
      <c r="N1" s="9" t="s">
        <v>306</v>
      </c>
      <c r="O1" s="10" t="s">
        <v>307</v>
      </c>
      <c r="P1" s="11" t="s">
        <v>308</v>
      </c>
      <c r="Q1" s="70" t="s">
        <v>309</v>
      </c>
      <c r="R1" s="6" t="s">
        <v>310</v>
      </c>
      <c r="S1" s="7" t="s">
        <v>311</v>
      </c>
      <c r="T1" s="8" t="s">
        <v>312</v>
      </c>
      <c r="U1" s="9" t="s">
        <v>313</v>
      </c>
      <c r="V1" s="10" t="s">
        <v>314</v>
      </c>
      <c r="W1" s="11" t="s">
        <v>315</v>
      </c>
      <c r="X1" s="70" t="s">
        <v>316</v>
      </c>
      <c r="Y1" s="6" t="s">
        <v>317</v>
      </c>
      <c r="Z1" s="7" t="s">
        <v>318</v>
      </c>
      <c r="AA1" s="8" t="s">
        <v>319</v>
      </c>
      <c r="AB1" s="9" t="s">
        <v>320</v>
      </c>
      <c r="AC1" s="10" t="s">
        <v>321</v>
      </c>
      <c r="AD1" s="11" t="s">
        <v>322</v>
      </c>
      <c r="AE1" s="70" t="s">
        <v>323</v>
      </c>
      <c r="AF1" s="6" t="s">
        <v>324</v>
      </c>
      <c r="AG1" s="7" t="s">
        <v>325</v>
      </c>
      <c r="AH1" s="8" t="s">
        <v>326</v>
      </c>
      <c r="AI1" s="9" t="s">
        <v>327</v>
      </c>
      <c r="AJ1" s="10" t="s">
        <v>328</v>
      </c>
      <c r="AK1" s="11" t="s">
        <v>329</v>
      </c>
      <c r="AL1" s="70" t="s">
        <v>330</v>
      </c>
      <c r="AM1" s="6" t="s">
        <v>331</v>
      </c>
      <c r="AN1" s="7" t="s">
        <v>332</v>
      </c>
      <c r="AO1" s="8" t="s">
        <v>333</v>
      </c>
      <c r="AP1" s="9" t="s">
        <v>334</v>
      </c>
      <c r="AQ1" s="10" t="s">
        <v>335</v>
      </c>
      <c r="AR1" s="11" t="s">
        <v>336</v>
      </c>
      <c r="AS1" s="70" t="s">
        <v>337</v>
      </c>
      <c r="AT1" s="6" t="s">
        <v>338</v>
      </c>
      <c r="AU1" s="7" t="s">
        <v>339</v>
      </c>
      <c r="AV1" s="8" t="s">
        <v>340</v>
      </c>
      <c r="AW1" s="9" t="s">
        <v>341</v>
      </c>
      <c r="AX1" s="10" t="s">
        <v>342</v>
      </c>
      <c r="AY1" s="11" t="s">
        <v>343</v>
      </c>
      <c r="AZ1" s="70" t="s">
        <v>344</v>
      </c>
      <c r="BA1" s="6" t="s">
        <v>345</v>
      </c>
      <c r="BB1" s="7" t="s">
        <v>346</v>
      </c>
      <c r="BC1" s="8" t="s">
        <v>347</v>
      </c>
      <c r="BD1" s="9" t="s">
        <v>348</v>
      </c>
      <c r="BE1" s="10" t="s">
        <v>349</v>
      </c>
      <c r="BF1" s="11" t="s">
        <v>350</v>
      </c>
      <c r="BG1" s="70" t="s">
        <v>351</v>
      </c>
      <c r="BH1" s="6" t="s">
        <v>352</v>
      </c>
      <c r="BI1" s="7" t="s">
        <v>353</v>
      </c>
      <c r="BJ1" s="8" t="s">
        <v>354</v>
      </c>
      <c r="BK1" s="9" t="s">
        <v>355</v>
      </c>
      <c r="BL1" s="10" t="s">
        <v>356</v>
      </c>
      <c r="BM1" s="11" t="s">
        <v>357</v>
      </c>
      <c r="BN1" s="70" t="s">
        <v>358</v>
      </c>
      <c r="BO1" s="6" t="s">
        <v>359</v>
      </c>
      <c r="BP1" s="7" t="s">
        <v>360</v>
      </c>
      <c r="BQ1" s="8" t="s">
        <v>361</v>
      </c>
      <c r="BR1" s="9" t="s">
        <v>362</v>
      </c>
      <c r="BS1" s="10" t="s">
        <v>363</v>
      </c>
      <c r="BT1" s="11" t="s">
        <v>364</v>
      </c>
      <c r="BU1" s="70" t="s">
        <v>365</v>
      </c>
      <c r="BV1" s="6" t="s">
        <v>366</v>
      </c>
      <c r="BW1" s="7" t="s">
        <v>367</v>
      </c>
      <c r="BX1" s="8" t="s">
        <v>368</v>
      </c>
      <c r="BY1" s="9" t="s">
        <v>369</v>
      </c>
      <c r="BZ1" s="10" t="s">
        <v>370</v>
      </c>
      <c r="CA1" s="11" t="s">
        <v>371</v>
      </c>
      <c r="CB1" s="70" t="s">
        <v>372</v>
      </c>
      <c r="CC1" s="6" t="s">
        <v>373</v>
      </c>
      <c r="CD1" s="7" t="s">
        <v>374</v>
      </c>
      <c r="CE1" s="8" t="s">
        <v>375</v>
      </c>
      <c r="CF1" s="9" t="s">
        <v>376</v>
      </c>
      <c r="CG1" s="10" t="s">
        <v>377</v>
      </c>
      <c r="CH1" s="11" t="s">
        <v>378</v>
      </c>
      <c r="CI1" s="70" t="s">
        <v>379</v>
      </c>
      <c r="CJ1" s="6" t="s">
        <v>380</v>
      </c>
      <c r="CK1" s="7" t="s">
        <v>381</v>
      </c>
      <c r="CL1" s="8" t="s">
        <v>382</v>
      </c>
      <c r="CM1" s="9" t="s">
        <v>383</v>
      </c>
      <c r="CN1" s="10" t="s">
        <v>384</v>
      </c>
      <c r="CO1" s="11" t="s">
        <v>385</v>
      </c>
      <c r="CP1" s="70" t="s">
        <v>386</v>
      </c>
      <c r="CQ1" s="6" t="s">
        <v>387</v>
      </c>
      <c r="CR1" s="7" t="s">
        <v>388</v>
      </c>
      <c r="CS1" s="8" t="s">
        <v>389</v>
      </c>
      <c r="CT1" s="9" t="s">
        <v>390</v>
      </c>
      <c r="CU1" s="10" t="s">
        <v>391</v>
      </c>
      <c r="CV1" s="11" t="s">
        <v>392</v>
      </c>
      <c r="CW1" s="70" t="s">
        <v>393</v>
      </c>
      <c r="CX1" s="13" t="s">
        <v>127</v>
      </c>
    </row>
    <row r="2">
      <c r="A2" s="14" t="s">
        <v>26</v>
      </c>
      <c r="B2" s="1" t="s">
        <v>12</v>
      </c>
      <c r="C2" s="15" t="s">
        <v>13</v>
      </c>
      <c r="D2" s="16"/>
      <c r="E2" s="17"/>
      <c r="F2" s="18" t="s">
        <v>128</v>
      </c>
      <c r="G2" s="19" t="s">
        <v>128</v>
      </c>
      <c r="H2" s="20" t="s">
        <v>128</v>
      </c>
      <c r="I2" s="21" t="s">
        <v>128</v>
      </c>
      <c r="J2" s="71">
        <f>IFERROR((VLOOKUP(D2,Scoring!$A:$B,2,0))+IF(F2="y",1,0)+IF(G2="y",1,0)+IF(H2="y",1,0)+IF(I2="y",1,0),0)</f>
        <v>0</v>
      </c>
      <c r="K2" s="16"/>
      <c r="L2" s="17"/>
      <c r="M2" s="18" t="s">
        <v>128</v>
      </c>
      <c r="N2" s="19" t="s">
        <v>128</v>
      </c>
      <c r="O2" s="20" t="s">
        <v>128</v>
      </c>
      <c r="P2" s="21" t="s">
        <v>128</v>
      </c>
      <c r="Q2" s="71">
        <f>IFERROR((VLOOKUP(K2,Scoring!$A:$B,2,0))+IF(M2="y",1,0)+IF(N2="y",1,0)+IF(O2="y",1,0)+IF(P2="y",1,0),0)</f>
        <v>0</v>
      </c>
      <c r="R2" s="16"/>
      <c r="S2" s="17"/>
      <c r="T2" s="18" t="s">
        <v>128</v>
      </c>
      <c r="U2" s="19" t="s">
        <v>128</v>
      </c>
      <c r="V2" s="20" t="s">
        <v>128</v>
      </c>
      <c r="W2" s="21" t="s">
        <v>128</v>
      </c>
      <c r="X2" s="71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71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71">
        <f>IFERROR((VLOOKUP(AF2,Scoring!$A:$B,2,0))+IF(AH2="y",1,0)+IF(AI2="y",1,0)+IF(AJ2="y",1,0)+IF(AK2="y",1,0),0)</f>
        <v>0</v>
      </c>
      <c r="AM2" s="16"/>
      <c r="AN2" s="17"/>
      <c r="AO2" s="18" t="s">
        <v>128</v>
      </c>
      <c r="AP2" s="19" t="s">
        <v>128</v>
      </c>
      <c r="AQ2" s="20" t="s">
        <v>128</v>
      </c>
      <c r="AR2" s="21" t="s">
        <v>128</v>
      </c>
      <c r="AS2" s="71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71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71">
        <f>IFERROR((VLOOKUP(BA2,Scoring!$A:$B,2,0))+IF(BC2="y",1,0)+IF(BD2="y",1,0)+IF(BE2="y",1,0)+IF(BF2="y",1,0),0)</f>
        <v>0</v>
      </c>
      <c r="BH2" s="16"/>
      <c r="BI2" s="17"/>
      <c r="BJ2" s="18" t="s">
        <v>128</v>
      </c>
      <c r="BK2" s="19" t="s">
        <v>128</v>
      </c>
      <c r="BL2" s="20" t="s">
        <v>128</v>
      </c>
      <c r="BM2" s="21" t="s">
        <v>128</v>
      </c>
      <c r="BN2" s="71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71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71">
        <f>IFERROR((VLOOKUP(BV2,Scoring!$A:$B,2,0))+IF(BX2="y",1,0)+IF(BY2="y",1,0)+IF(BZ2="y",1,0)+IF(CA2="y",1,0),0)</f>
        <v>0</v>
      </c>
      <c r="CC2" s="16"/>
      <c r="CD2" s="17"/>
      <c r="CE2" s="18" t="s">
        <v>128</v>
      </c>
      <c r="CF2" s="19" t="s">
        <v>128</v>
      </c>
      <c r="CG2" s="20" t="s">
        <v>128</v>
      </c>
      <c r="CH2" s="21" t="s">
        <v>128</v>
      </c>
      <c r="CI2" s="71">
        <f>IFERROR((VLOOKUP(CC2,Scoring!$A:$B,2,0))+IF(CE2="y",1,0)+IF(CF2="y",1,0)+IF(CG2="y",1,0)+IF(CH2="y",1,0),0)</f>
        <v>0</v>
      </c>
      <c r="CJ2" s="16"/>
      <c r="CK2" s="17"/>
      <c r="CL2" s="18" t="s">
        <v>128</v>
      </c>
      <c r="CM2" s="19" t="s">
        <v>128</v>
      </c>
      <c r="CN2" s="20" t="s">
        <v>128</v>
      </c>
      <c r="CO2" s="21" t="s">
        <v>128</v>
      </c>
      <c r="CP2" s="71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71">
        <f>IFERROR((VLOOKUP(CQ2,Scoring!$A:$B,2,0))+IF(CS2="y",1,0)+IF(CT2="y",1,0)+IF(CU2="y",1,0)+IF(CV2="y",1,0),0)</f>
        <v>0</v>
      </c>
      <c r="CX2" s="13">
        <v>0.0</v>
      </c>
    </row>
    <row r="3">
      <c r="A3" s="14" t="s">
        <v>26</v>
      </c>
      <c r="B3" s="1" t="s">
        <v>14</v>
      </c>
      <c r="C3" s="15" t="s">
        <v>15</v>
      </c>
      <c r="D3" s="24"/>
      <c r="E3" s="25"/>
      <c r="F3" s="26" t="s">
        <v>128</v>
      </c>
      <c r="G3" s="27" t="s">
        <v>128</v>
      </c>
      <c r="H3" s="28" t="s">
        <v>128</v>
      </c>
      <c r="I3" s="29" t="s">
        <v>128</v>
      </c>
      <c r="J3" s="72">
        <f>IFERROR((VLOOKUP(D3,Scoring!$A:$B,2,0))+IF(F3="y",1,0)+IF(G3="y",1,0)+IF(H3="y",1,0)+IF(I3="y",1,0),0)</f>
        <v>0</v>
      </c>
      <c r="K3" s="24"/>
      <c r="L3" s="25"/>
      <c r="M3" s="26" t="s">
        <v>128</v>
      </c>
      <c r="N3" s="27" t="s">
        <v>128</v>
      </c>
      <c r="O3" s="28" t="s">
        <v>128</v>
      </c>
      <c r="P3" s="29" t="s">
        <v>128</v>
      </c>
      <c r="Q3" s="72">
        <f>IFERROR((VLOOKUP(K3,Scoring!$A:$B,2,0))+IF(M3="y",1,0)+IF(N3="y",1,0)+IF(O3="y",1,0)+IF(P3="y",1,0),0)</f>
        <v>0</v>
      </c>
      <c r="R3" s="24"/>
      <c r="S3" s="25"/>
      <c r="T3" s="26" t="s">
        <v>128</v>
      </c>
      <c r="U3" s="27" t="s">
        <v>128</v>
      </c>
      <c r="V3" s="28" t="s">
        <v>128</v>
      </c>
      <c r="W3" s="29" t="s">
        <v>128</v>
      </c>
      <c r="X3" s="72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72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72">
        <f>IFERROR((VLOOKUP(AF3,Scoring!$A:$B,2,0))+IF(AH3="y",1,0)+IF(AI3="y",1,0)+IF(AJ3="y",1,0)+IF(AK3="y",1,0),0)</f>
        <v>0</v>
      </c>
      <c r="AM3" s="24"/>
      <c r="AN3" s="25"/>
      <c r="AO3" s="26" t="s">
        <v>128</v>
      </c>
      <c r="AP3" s="27" t="s">
        <v>128</v>
      </c>
      <c r="AQ3" s="28" t="s">
        <v>128</v>
      </c>
      <c r="AR3" s="29" t="s">
        <v>128</v>
      </c>
      <c r="AS3" s="72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72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72">
        <f>IFERROR((VLOOKUP(BA3,Scoring!$A:$B,2,0))+IF(BC3="y",1,0)+IF(BD3="y",1,0)+IF(BE3="y",1,0)+IF(BF3="y",1,0),0)</f>
        <v>0</v>
      </c>
      <c r="BH3" s="24"/>
      <c r="BI3" s="25"/>
      <c r="BJ3" s="26" t="s">
        <v>128</v>
      </c>
      <c r="BK3" s="27" t="s">
        <v>128</v>
      </c>
      <c r="BL3" s="28" t="s">
        <v>128</v>
      </c>
      <c r="BM3" s="29" t="s">
        <v>128</v>
      </c>
      <c r="BN3" s="72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72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72">
        <f>IFERROR((VLOOKUP(BV3,Scoring!$A:$B,2,0))+IF(BX3="y",1,0)+IF(BY3="y",1,0)+IF(BZ3="y",1,0)+IF(CA3="y",1,0),0)</f>
        <v>0</v>
      </c>
      <c r="CC3" s="24"/>
      <c r="CD3" s="25"/>
      <c r="CE3" s="26" t="s">
        <v>128</v>
      </c>
      <c r="CF3" s="27" t="s">
        <v>128</v>
      </c>
      <c r="CG3" s="28" t="s">
        <v>128</v>
      </c>
      <c r="CH3" s="29" t="s">
        <v>128</v>
      </c>
      <c r="CI3" s="72">
        <f>IFERROR((VLOOKUP(CC3,Scoring!$A:$B,2,0))+IF(CE3="y",1,0)+IF(CF3="y",1,0)+IF(CG3="y",1,0)+IF(CH3="y",1,0),0)</f>
        <v>0</v>
      </c>
      <c r="CJ3" s="24"/>
      <c r="CK3" s="25"/>
      <c r="CL3" s="26" t="s">
        <v>128</v>
      </c>
      <c r="CM3" s="27" t="s">
        <v>128</v>
      </c>
      <c r="CN3" s="28" t="s">
        <v>128</v>
      </c>
      <c r="CO3" s="29" t="s">
        <v>128</v>
      </c>
      <c r="CP3" s="72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72">
        <f>IFERROR((VLOOKUP(CQ3,Scoring!$A:$B,2,0))+IF(CS3="y",1,0)+IF(CT3="y",1,0)+IF(CU3="y",1,0)+IF(CV3="y",1,0),0)</f>
        <v>0</v>
      </c>
      <c r="CX3" s="13">
        <v>0.0</v>
      </c>
    </row>
    <row r="4">
      <c r="A4" s="33" t="s">
        <v>16</v>
      </c>
      <c r="B4" s="34" t="s">
        <v>17</v>
      </c>
      <c r="C4" s="35" t="s">
        <v>18</v>
      </c>
      <c r="D4" s="36"/>
      <c r="E4" s="37"/>
      <c r="F4" s="38" t="s">
        <v>128</v>
      </c>
      <c r="G4" s="39" t="s">
        <v>128</v>
      </c>
      <c r="H4" s="40" t="s">
        <v>128</v>
      </c>
      <c r="I4" s="41" t="s">
        <v>128</v>
      </c>
      <c r="J4" s="71">
        <f>IFERROR((VLOOKUP(D4,Scoring!$A:$B,2,0))+IF(F4="y",1,0)+IF(G4="y",1,0)+IF(H4="y",1,0)+IF(I4="y",1,0),0)</f>
        <v>0</v>
      </c>
      <c r="K4" s="36"/>
      <c r="L4" s="37"/>
      <c r="M4" s="38" t="s">
        <v>128</v>
      </c>
      <c r="N4" s="39" t="s">
        <v>128</v>
      </c>
      <c r="O4" s="40" t="s">
        <v>128</v>
      </c>
      <c r="P4" s="41" t="s">
        <v>128</v>
      </c>
      <c r="Q4" s="71">
        <f>IFERROR((VLOOKUP(K4,Scoring!$A:$B,2,0))+IF(M4="y",1,0)+IF(N4="y",1,0)+IF(O4="y",1,0)+IF(P4="y",1,0),0)</f>
        <v>0</v>
      </c>
      <c r="R4" s="36"/>
      <c r="S4" s="37"/>
      <c r="T4" s="38" t="s">
        <v>128</v>
      </c>
      <c r="U4" s="39" t="s">
        <v>128</v>
      </c>
      <c r="V4" s="40" t="s">
        <v>128</v>
      </c>
      <c r="W4" s="41" t="s">
        <v>128</v>
      </c>
      <c r="X4" s="71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71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71">
        <f>IFERROR((VLOOKUP(AF4,Scoring!$A:$B,2,0))+IF(AH4="y",1,0)+IF(AI4="y",1,0)+IF(AJ4="y",1,0)+IF(AK4="y",1,0),0)</f>
        <v>0</v>
      </c>
      <c r="AM4" s="36"/>
      <c r="AN4" s="37"/>
      <c r="AO4" s="38" t="s">
        <v>128</v>
      </c>
      <c r="AP4" s="39" t="s">
        <v>128</v>
      </c>
      <c r="AQ4" s="40" t="s">
        <v>128</v>
      </c>
      <c r="AR4" s="41" t="s">
        <v>128</v>
      </c>
      <c r="AS4" s="71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71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71">
        <f>IFERROR((VLOOKUP(BA4,Scoring!$A:$B,2,0))+IF(BC4="y",1,0)+IF(BD4="y",1,0)+IF(BE4="y",1,0)+IF(BF4="y",1,0),0)</f>
        <v>0</v>
      </c>
      <c r="BH4" s="36"/>
      <c r="BI4" s="37"/>
      <c r="BJ4" s="38" t="s">
        <v>128</v>
      </c>
      <c r="BK4" s="39" t="s">
        <v>128</v>
      </c>
      <c r="BL4" s="40" t="s">
        <v>128</v>
      </c>
      <c r="BM4" s="41" t="s">
        <v>128</v>
      </c>
      <c r="BN4" s="71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71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71">
        <f>IFERROR((VLOOKUP(BV4,Scoring!$A:$B,2,0))+IF(BX4="y",1,0)+IF(BY4="y",1,0)+IF(BZ4="y",1,0)+IF(CA4="y",1,0),0)</f>
        <v>0</v>
      </c>
      <c r="CC4" s="36"/>
      <c r="CD4" s="37"/>
      <c r="CE4" s="38" t="s">
        <v>128</v>
      </c>
      <c r="CF4" s="39" t="s">
        <v>128</v>
      </c>
      <c r="CG4" s="40" t="s">
        <v>128</v>
      </c>
      <c r="CH4" s="41" t="s">
        <v>128</v>
      </c>
      <c r="CI4" s="71">
        <f>IFERROR((VLOOKUP(CC4,Scoring!$A:$B,2,0))+IF(CE4="y",1,0)+IF(CF4="y",1,0)+IF(CG4="y",1,0)+IF(CH4="y",1,0),0)</f>
        <v>0</v>
      </c>
      <c r="CJ4" s="36"/>
      <c r="CK4" s="37"/>
      <c r="CL4" s="38" t="s">
        <v>128</v>
      </c>
      <c r="CM4" s="39" t="s">
        <v>128</v>
      </c>
      <c r="CN4" s="40" t="s">
        <v>128</v>
      </c>
      <c r="CO4" s="41" t="s">
        <v>128</v>
      </c>
      <c r="CP4" s="71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71">
        <f>IFERROR((VLOOKUP(CQ4,Scoring!$A:$B,2,0))+IF(CS4="y",1,0)+IF(CT4="y",1,0)+IF(CU4="y",1,0)+IF(CV4="y",1,0),0)</f>
        <v>0</v>
      </c>
      <c r="CX4" s="13">
        <v>0.0</v>
      </c>
    </row>
    <row r="5">
      <c r="A5" s="45" t="s">
        <v>16</v>
      </c>
      <c r="B5" s="46" t="s">
        <v>394</v>
      </c>
      <c r="C5" s="47" t="s">
        <v>395</v>
      </c>
      <c r="D5" s="48"/>
      <c r="E5" s="49"/>
      <c r="F5" s="50" t="s">
        <v>128</v>
      </c>
      <c r="G5" s="51" t="s">
        <v>128</v>
      </c>
      <c r="H5" s="52" t="s">
        <v>128</v>
      </c>
      <c r="I5" s="53" t="s">
        <v>128</v>
      </c>
      <c r="J5" s="72">
        <f>IFERROR((VLOOKUP(D5,Scoring!$A:$B,2,0))+IF(F5="y",1,0)+IF(G5="y",1,0)+IF(H5="y",1,0)+IF(I5="y",1,0),0)</f>
        <v>0</v>
      </c>
      <c r="K5" s="48"/>
      <c r="L5" s="49"/>
      <c r="M5" s="50" t="s">
        <v>128</v>
      </c>
      <c r="N5" s="51" t="s">
        <v>128</v>
      </c>
      <c r="O5" s="52" t="s">
        <v>128</v>
      </c>
      <c r="P5" s="53" t="s">
        <v>128</v>
      </c>
      <c r="Q5" s="72">
        <f>IFERROR((VLOOKUP(K5,Scoring!$A:$B,2,0))+IF(M5="y",1,0)+IF(N5="y",1,0)+IF(O5="y",1,0)+IF(P5="y",1,0),0)</f>
        <v>0</v>
      </c>
      <c r="R5" s="48"/>
      <c r="S5" s="49"/>
      <c r="T5" s="50" t="s">
        <v>128</v>
      </c>
      <c r="U5" s="51" t="s">
        <v>128</v>
      </c>
      <c r="V5" s="52" t="s">
        <v>128</v>
      </c>
      <c r="W5" s="53" t="s">
        <v>128</v>
      </c>
      <c r="X5" s="72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72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72">
        <f>IFERROR((VLOOKUP(AF5,Scoring!$A:$B,2,0))+IF(AH5="y",1,0)+IF(AI5="y",1,0)+IF(AJ5="y",1,0)+IF(AK5="y",1,0),0)</f>
        <v>0</v>
      </c>
      <c r="AM5" s="48"/>
      <c r="AN5" s="49"/>
      <c r="AO5" s="50" t="s">
        <v>128</v>
      </c>
      <c r="AP5" s="51" t="s">
        <v>128</v>
      </c>
      <c r="AQ5" s="52" t="s">
        <v>128</v>
      </c>
      <c r="AR5" s="53" t="s">
        <v>128</v>
      </c>
      <c r="AS5" s="72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72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72">
        <f>IFERROR((VLOOKUP(BA5,Scoring!$A:$B,2,0))+IF(BC5="y",1,0)+IF(BD5="y",1,0)+IF(BE5="y",1,0)+IF(BF5="y",1,0),0)</f>
        <v>0</v>
      </c>
      <c r="BH5" s="48"/>
      <c r="BI5" s="49"/>
      <c r="BJ5" s="50" t="s">
        <v>128</v>
      </c>
      <c r="BK5" s="51" t="s">
        <v>128</v>
      </c>
      <c r="BL5" s="52" t="s">
        <v>128</v>
      </c>
      <c r="BM5" s="53" t="s">
        <v>128</v>
      </c>
      <c r="BN5" s="72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72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72">
        <f>IFERROR((VLOOKUP(BV5,Scoring!$A:$B,2,0))+IF(BX5="y",1,0)+IF(BY5="y",1,0)+IF(BZ5="y",1,0)+IF(CA5="y",1,0),0)</f>
        <v>0</v>
      </c>
      <c r="CC5" s="48"/>
      <c r="CD5" s="49"/>
      <c r="CE5" s="50" t="s">
        <v>128</v>
      </c>
      <c r="CF5" s="51" t="s">
        <v>128</v>
      </c>
      <c r="CG5" s="52" t="s">
        <v>128</v>
      </c>
      <c r="CH5" s="53" t="s">
        <v>128</v>
      </c>
      <c r="CI5" s="72">
        <f>IFERROR((VLOOKUP(CC5,Scoring!$A:$B,2,0))+IF(CE5="y",1,0)+IF(CF5="y",1,0)+IF(CG5="y",1,0)+IF(CH5="y",1,0),0)</f>
        <v>0</v>
      </c>
      <c r="CJ5" s="48"/>
      <c r="CK5" s="49"/>
      <c r="CL5" s="50" t="s">
        <v>128</v>
      </c>
      <c r="CM5" s="51" t="s">
        <v>128</v>
      </c>
      <c r="CN5" s="52" t="s">
        <v>128</v>
      </c>
      <c r="CO5" s="53" t="s">
        <v>128</v>
      </c>
      <c r="CP5" s="72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72">
        <f>IFERROR((VLOOKUP(CQ5,Scoring!$A:$B,2,0))+IF(CS5="y",1,0)+IF(CT5="y",1,0)+IF(CU5="y",1,0)+IF(CV5="y",1,0),0)</f>
        <v>0</v>
      </c>
      <c r="CX5" s="13">
        <v>0.0</v>
      </c>
    </row>
    <row r="6">
      <c r="A6" s="14" t="s">
        <v>396</v>
      </c>
      <c r="B6" s="1" t="s">
        <v>22</v>
      </c>
      <c r="C6" s="15" t="s">
        <v>23</v>
      </c>
      <c r="D6" s="24"/>
      <c r="E6" s="25"/>
      <c r="F6" s="26" t="s">
        <v>128</v>
      </c>
      <c r="G6" s="27" t="s">
        <v>128</v>
      </c>
      <c r="H6" s="28" t="s">
        <v>128</v>
      </c>
      <c r="I6" s="29" t="s">
        <v>128</v>
      </c>
      <c r="J6" s="71">
        <f>IFERROR((VLOOKUP(D6,Scoring!$A:$B,2,0))+IF(F6="y",1,0)+IF(G6="y",1,0)+IF(H6="y",1,0)+IF(I6="y",1,0),0)</f>
        <v>0</v>
      </c>
      <c r="K6" s="24"/>
      <c r="L6" s="25"/>
      <c r="M6" s="26" t="s">
        <v>128</v>
      </c>
      <c r="N6" s="27" t="s">
        <v>128</v>
      </c>
      <c r="O6" s="28" t="s">
        <v>128</v>
      </c>
      <c r="P6" s="29" t="s">
        <v>128</v>
      </c>
      <c r="Q6" s="71">
        <f>IFERROR((VLOOKUP(K6,Scoring!$A:$B,2,0))+IF(M6="y",1,0)+IF(N6="y",1,0)+IF(O6="y",1,0)+IF(P6="y",1,0),0)</f>
        <v>0</v>
      </c>
      <c r="R6" s="24"/>
      <c r="S6" s="25"/>
      <c r="T6" s="26" t="s">
        <v>128</v>
      </c>
      <c r="U6" s="27" t="s">
        <v>128</v>
      </c>
      <c r="V6" s="28" t="s">
        <v>128</v>
      </c>
      <c r="W6" s="29" t="s">
        <v>128</v>
      </c>
      <c r="X6" s="71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71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71">
        <f>IFERROR((VLOOKUP(AF6,Scoring!$A:$B,2,0))+IF(AH6="y",1,0)+IF(AI6="y",1,0)+IF(AJ6="y",1,0)+IF(AK6="y",1,0),0)</f>
        <v>0</v>
      </c>
      <c r="AM6" s="24"/>
      <c r="AN6" s="25"/>
      <c r="AO6" s="26" t="s">
        <v>128</v>
      </c>
      <c r="AP6" s="27" t="s">
        <v>128</v>
      </c>
      <c r="AQ6" s="28" t="s">
        <v>128</v>
      </c>
      <c r="AR6" s="29" t="s">
        <v>128</v>
      </c>
      <c r="AS6" s="71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71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71">
        <f>IFERROR((VLOOKUP(BA6,Scoring!$A:$B,2,0))+IF(BC6="y",1,0)+IF(BD6="y",1,0)+IF(BE6="y",1,0)+IF(BF6="y",1,0),0)</f>
        <v>0</v>
      </c>
      <c r="BH6" s="24"/>
      <c r="BI6" s="25"/>
      <c r="BJ6" s="26" t="s">
        <v>128</v>
      </c>
      <c r="BK6" s="27" t="s">
        <v>128</v>
      </c>
      <c r="BL6" s="28" t="s">
        <v>128</v>
      </c>
      <c r="BM6" s="29" t="s">
        <v>128</v>
      </c>
      <c r="BN6" s="71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71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71">
        <f>IFERROR((VLOOKUP(BV6,Scoring!$A:$B,2,0))+IF(BX6="y",1,0)+IF(BY6="y",1,0)+IF(BZ6="y",1,0)+IF(CA6="y",1,0),0)</f>
        <v>0</v>
      </c>
      <c r="CC6" s="24"/>
      <c r="CD6" s="25"/>
      <c r="CE6" s="26" t="s">
        <v>128</v>
      </c>
      <c r="CF6" s="27" t="s">
        <v>128</v>
      </c>
      <c r="CG6" s="28" t="s">
        <v>128</v>
      </c>
      <c r="CH6" s="29" t="s">
        <v>128</v>
      </c>
      <c r="CI6" s="71">
        <f>IFERROR((VLOOKUP(CC6,Scoring!$A:$B,2,0))+IF(CE6="y",1,0)+IF(CF6="y",1,0)+IF(CG6="y",1,0)+IF(CH6="y",1,0),0)</f>
        <v>0</v>
      </c>
      <c r="CJ6" s="24"/>
      <c r="CK6" s="25"/>
      <c r="CL6" s="26" t="s">
        <v>128</v>
      </c>
      <c r="CM6" s="27" t="s">
        <v>128</v>
      </c>
      <c r="CN6" s="28" t="s">
        <v>128</v>
      </c>
      <c r="CO6" s="29" t="s">
        <v>128</v>
      </c>
      <c r="CP6" s="71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71">
        <f>IFERROR((VLOOKUP(CQ6,Scoring!$A:$B,2,0))+IF(CS6="y",1,0)+IF(CT6="y",1,0)+IF(CU6="y",1,0)+IF(CV6="y",1,0),0)</f>
        <v>0</v>
      </c>
      <c r="CX6" s="13">
        <v>0.0</v>
      </c>
    </row>
    <row r="7">
      <c r="A7" s="14" t="s">
        <v>396</v>
      </c>
      <c r="B7" s="1" t="s">
        <v>24</v>
      </c>
      <c r="C7" s="15" t="s">
        <v>25</v>
      </c>
      <c r="D7" s="24"/>
      <c r="E7" s="25"/>
      <c r="F7" s="26" t="s">
        <v>128</v>
      </c>
      <c r="G7" s="27" t="s">
        <v>128</v>
      </c>
      <c r="H7" s="28" t="s">
        <v>128</v>
      </c>
      <c r="I7" s="29" t="s">
        <v>128</v>
      </c>
      <c r="J7" s="72">
        <f>IFERROR((VLOOKUP(D7,Scoring!$A:$B,2,0))+IF(F7="y",1,0)+IF(G7="y",1,0)+IF(H7="y",1,0)+IF(I7="y",1,0),0)</f>
        <v>0</v>
      </c>
      <c r="K7" s="24"/>
      <c r="L7" s="25"/>
      <c r="M7" s="26" t="s">
        <v>128</v>
      </c>
      <c r="N7" s="27" t="s">
        <v>128</v>
      </c>
      <c r="O7" s="28" t="s">
        <v>128</v>
      </c>
      <c r="P7" s="29" t="s">
        <v>128</v>
      </c>
      <c r="Q7" s="72">
        <f>IFERROR((VLOOKUP(K7,Scoring!$A:$B,2,0))+IF(M7="y",1,0)+IF(N7="y",1,0)+IF(O7="y",1,0)+IF(P7="y",1,0),0)</f>
        <v>0</v>
      </c>
      <c r="R7" s="24"/>
      <c r="S7" s="25"/>
      <c r="T7" s="26" t="s">
        <v>128</v>
      </c>
      <c r="U7" s="27" t="s">
        <v>128</v>
      </c>
      <c r="V7" s="28" t="s">
        <v>128</v>
      </c>
      <c r="W7" s="29" t="s">
        <v>128</v>
      </c>
      <c r="X7" s="72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72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72">
        <f>IFERROR((VLOOKUP(AF7,Scoring!$A:$B,2,0))+IF(AH7="y",1,0)+IF(AI7="y",1,0)+IF(AJ7="y",1,0)+IF(AK7="y",1,0),0)</f>
        <v>0</v>
      </c>
      <c r="AM7" s="24"/>
      <c r="AN7" s="25"/>
      <c r="AO7" s="26" t="s">
        <v>128</v>
      </c>
      <c r="AP7" s="27" t="s">
        <v>128</v>
      </c>
      <c r="AQ7" s="28" t="s">
        <v>128</v>
      </c>
      <c r="AR7" s="29" t="s">
        <v>128</v>
      </c>
      <c r="AS7" s="72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72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72">
        <f>IFERROR((VLOOKUP(BA7,Scoring!$A:$B,2,0))+IF(BC7="y",1,0)+IF(BD7="y",1,0)+IF(BE7="y",1,0)+IF(BF7="y",1,0),0)</f>
        <v>0</v>
      </c>
      <c r="BH7" s="24"/>
      <c r="BI7" s="25"/>
      <c r="BJ7" s="26" t="s">
        <v>128</v>
      </c>
      <c r="BK7" s="27" t="s">
        <v>128</v>
      </c>
      <c r="BL7" s="28" t="s">
        <v>128</v>
      </c>
      <c r="BM7" s="29" t="s">
        <v>128</v>
      </c>
      <c r="BN7" s="72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72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72">
        <f>IFERROR((VLOOKUP(BV7,Scoring!$A:$B,2,0))+IF(BX7="y",1,0)+IF(BY7="y",1,0)+IF(BZ7="y",1,0)+IF(CA7="y",1,0),0)</f>
        <v>0</v>
      </c>
      <c r="CC7" s="24"/>
      <c r="CD7" s="25"/>
      <c r="CE7" s="26" t="s">
        <v>128</v>
      </c>
      <c r="CF7" s="27" t="s">
        <v>128</v>
      </c>
      <c r="CG7" s="28" t="s">
        <v>128</v>
      </c>
      <c r="CH7" s="29" t="s">
        <v>128</v>
      </c>
      <c r="CI7" s="72">
        <f>IFERROR((VLOOKUP(CC7,Scoring!$A:$B,2,0))+IF(CE7="y",1,0)+IF(CF7="y",1,0)+IF(CG7="y",1,0)+IF(CH7="y",1,0),0)</f>
        <v>0</v>
      </c>
      <c r="CJ7" s="24"/>
      <c r="CK7" s="25"/>
      <c r="CL7" s="26" t="s">
        <v>128</v>
      </c>
      <c r="CM7" s="27" t="s">
        <v>128</v>
      </c>
      <c r="CN7" s="28" t="s">
        <v>128</v>
      </c>
      <c r="CO7" s="29" t="s">
        <v>128</v>
      </c>
      <c r="CP7" s="72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72">
        <f>IFERROR((VLOOKUP(CQ7,Scoring!$A:$B,2,0))+IF(CS7="y",1,0)+IF(CT7="y",1,0)+IF(CU7="y",1,0)+IF(CV7="y",1,0),0)</f>
        <v>0</v>
      </c>
      <c r="CX7" s="13">
        <v>0.0</v>
      </c>
    </row>
    <row r="8">
      <c r="A8" s="33" t="s">
        <v>397</v>
      </c>
      <c r="B8" s="34" t="s">
        <v>27</v>
      </c>
      <c r="C8" s="35" t="s">
        <v>28</v>
      </c>
      <c r="D8" s="36"/>
      <c r="E8" s="37"/>
      <c r="F8" s="38" t="s">
        <v>128</v>
      </c>
      <c r="G8" s="39" t="s">
        <v>128</v>
      </c>
      <c r="H8" s="40" t="s">
        <v>128</v>
      </c>
      <c r="I8" s="41" t="s">
        <v>128</v>
      </c>
      <c r="J8" s="71">
        <f>IFERROR((VLOOKUP(D8,Scoring!$A:$B,2,0))+IF(F8="y",1,0)+IF(G8="y",1,0)+IF(H8="y",1,0)+IF(I8="y",1,0),0)</f>
        <v>0</v>
      </c>
      <c r="K8" s="36"/>
      <c r="L8" s="37"/>
      <c r="M8" s="38" t="s">
        <v>128</v>
      </c>
      <c r="N8" s="39" t="s">
        <v>128</v>
      </c>
      <c r="O8" s="40" t="s">
        <v>128</v>
      </c>
      <c r="P8" s="41" t="s">
        <v>128</v>
      </c>
      <c r="Q8" s="71">
        <f>IFERROR((VLOOKUP(K8,Scoring!$A:$B,2,0))+IF(M8="y",1,0)+IF(N8="y",1,0)+IF(O8="y",1,0)+IF(P8="y",1,0),0)</f>
        <v>0</v>
      </c>
      <c r="R8" s="36"/>
      <c r="S8" s="37"/>
      <c r="T8" s="38" t="s">
        <v>128</v>
      </c>
      <c r="U8" s="39" t="s">
        <v>128</v>
      </c>
      <c r="V8" s="40" t="s">
        <v>128</v>
      </c>
      <c r="W8" s="41" t="s">
        <v>128</v>
      </c>
      <c r="X8" s="71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71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71">
        <f>IFERROR((VLOOKUP(AF8,Scoring!$A:$B,2,0))+IF(AH8="y",1,0)+IF(AI8="y",1,0)+IF(AJ8="y",1,0)+IF(AK8="y",1,0),0)</f>
        <v>0</v>
      </c>
      <c r="AM8" s="36"/>
      <c r="AN8" s="37"/>
      <c r="AO8" s="38" t="s">
        <v>128</v>
      </c>
      <c r="AP8" s="39" t="s">
        <v>128</v>
      </c>
      <c r="AQ8" s="40" t="s">
        <v>128</v>
      </c>
      <c r="AR8" s="41" t="s">
        <v>128</v>
      </c>
      <c r="AS8" s="71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71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71">
        <f>IFERROR((VLOOKUP(BA8,Scoring!$A:$B,2,0))+IF(BC8="y",1,0)+IF(BD8="y",1,0)+IF(BE8="y",1,0)+IF(BF8="y",1,0),0)</f>
        <v>0</v>
      </c>
      <c r="BH8" s="36"/>
      <c r="BI8" s="37"/>
      <c r="BJ8" s="38" t="s">
        <v>128</v>
      </c>
      <c r="BK8" s="39" t="s">
        <v>128</v>
      </c>
      <c r="BL8" s="40" t="s">
        <v>128</v>
      </c>
      <c r="BM8" s="41" t="s">
        <v>128</v>
      </c>
      <c r="BN8" s="71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71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71">
        <f>IFERROR((VLOOKUP(BV8,Scoring!$A:$B,2,0))+IF(BX8="y",1,0)+IF(BY8="y",1,0)+IF(BZ8="y",1,0)+IF(CA8="y",1,0),0)</f>
        <v>0</v>
      </c>
      <c r="CC8" s="36"/>
      <c r="CD8" s="37"/>
      <c r="CE8" s="38" t="s">
        <v>128</v>
      </c>
      <c r="CF8" s="39" t="s">
        <v>128</v>
      </c>
      <c r="CG8" s="40" t="s">
        <v>128</v>
      </c>
      <c r="CH8" s="41" t="s">
        <v>128</v>
      </c>
      <c r="CI8" s="71">
        <f>IFERROR((VLOOKUP(CC8,Scoring!$A:$B,2,0))+IF(CE8="y",1,0)+IF(CF8="y",1,0)+IF(CG8="y",1,0)+IF(CH8="y",1,0),0)</f>
        <v>0</v>
      </c>
      <c r="CJ8" s="36"/>
      <c r="CK8" s="37"/>
      <c r="CL8" s="38" t="s">
        <v>128</v>
      </c>
      <c r="CM8" s="39" t="s">
        <v>128</v>
      </c>
      <c r="CN8" s="40" t="s">
        <v>128</v>
      </c>
      <c r="CO8" s="41" t="s">
        <v>128</v>
      </c>
      <c r="CP8" s="71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71">
        <f>IFERROR((VLOOKUP(CQ8,Scoring!$A:$B,2,0))+IF(CS8="y",1,0)+IF(CT8="y",1,0)+IF(CU8="y",1,0)+IF(CV8="y",1,0),0)</f>
        <v>0</v>
      </c>
      <c r="CX8" s="13">
        <v>0.0</v>
      </c>
    </row>
    <row r="9">
      <c r="A9" s="45" t="s">
        <v>397</v>
      </c>
      <c r="B9" s="46" t="s">
        <v>29</v>
      </c>
      <c r="C9" s="47" t="s">
        <v>30</v>
      </c>
      <c r="D9" s="48"/>
      <c r="E9" s="49"/>
      <c r="F9" s="50" t="s">
        <v>128</v>
      </c>
      <c r="G9" s="51" t="s">
        <v>128</v>
      </c>
      <c r="H9" s="52" t="s">
        <v>128</v>
      </c>
      <c r="I9" s="53" t="s">
        <v>128</v>
      </c>
      <c r="J9" s="72">
        <f>IFERROR((VLOOKUP(D9,Scoring!$A:$B,2,0))+IF(F9="y",1,0)+IF(G9="y",1,0)+IF(H9="y",1,0)+IF(I9="y",1,0),0)</f>
        <v>0</v>
      </c>
      <c r="K9" s="48"/>
      <c r="L9" s="49"/>
      <c r="M9" s="50" t="s">
        <v>128</v>
      </c>
      <c r="N9" s="51" t="s">
        <v>128</v>
      </c>
      <c r="O9" s="52" t="s">
        <v>128</v>
      </c>
      <c r="P9" s="53" t="s">
        <v>128</v>
      </c>
      <c r="Q9" s="72">
        <f>IFERROR((VLOOKUP(K9,Scoring!$A:$B,2,0))+IF(M9="y",1,0)+IF(N9="y",1,0)+IF(O9="y",1,0)+IF(P9="y",1,0),0)</f>
        <v>0</v>
      </c>
      <c r="R9" s="48"/>
      <c r="S9" s="49"/>
      <c r="T9" s="50" t="s">
        <v>128</v>
      </c>
      <c r="U9" s="51" t="s">
        <v>128</v>
      </c>
      <c r="V9" s="52" t="s">
        <v>128</v>
      </c>
      <c r="W9" s="53" t="s">
        <v>128</v>
      </c>
      <c r="X9" s="72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72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72">
        <f>IFERROR((VLOOKUP(AF9,Scoring!$A:$B,2,0))+IF(AH9="y",1,0)+IF(AI9="y",1,0)+IF(AJ9="y",1,0)+IF(AK9="y",1,0),0)</f>
        <v>0</v>
      </c>
      <c r="AM9" s="48"/>
      <c r="AN9" s="49"/>
      <c r="AO9" s="50" t="s">
        <v>128</v>
      </c>
      <c r="AP9" s="51" t="s">
        <v>128</v>
      </c>
      <c r="AQ9" s="52" t="s">
        <v>128</v>
      </c>
      <c r="AR9" s="53" t="s">
        <v>128</v>
      </c>
      <c r="AS9" s="72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72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72">
        <f>IFERROR((VLOOKUP(BA9,Scoring!$A:$B,2,0))+IF(BC9="y",1,0)+IF(BD9="y",1,0)+IF(BE9="y",1,0)+IF(BF9="y",1,0),0)</f>
        <v>0</v>
      </c>
      <c r="BH9" s="48"/>
      <c r="BI9" s="49"/>
      <c r="BJ9" s="50" t="s">
        <v>128</v>
      </c>
      <c r="BK9" s="51" t="s">
        <v>128</v>
      </c>
      <c r="BL9" s="52" t="s">
        <v>128</v>
      </c>
      <c r="BM9" s="53" t="s">
        <v>128</v>
      </c>
      <c r="BN9" s="72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72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72">
        <f>IFERROR((VLOOKUP(BV9,Scoring!$A:$B,2,0))+IF(BX9="y",1,0)+IF(BY9="y",1,0)+IF(BZ9="y",1,0)+IF(CA9="y",1,0),0)</f>
        <v>0</v>
      </c>
      <c r="CC9" s="48"/>
      <c r="CD9" s="49"/>
      <c r="CE9" s="50" t="s">
        <v>128</v>
      </c>
      <c r="CF9" s="51" t="s">
        <v>128</v>
      </c>
      <c r="CG9" s="52" t="s">
        <v>128</v>
      </c>
      <c r="CH9" s="53" t="s">
        <v>128</v>
      </c>
      <c r="CI9" s="72">
        <f>IFERROR((VLOOKUP(CC9,Scoring!$A:$B,2,0))+IF(CE9="y",1,0)+IF(CF9="y",1,0)+IF(CG9="y",1,0)+IF(CH9="y",1,0),0)</f>
        <v>0</v>
      </c>
      <c r="CJ9" s="48"/>
      <c r="CK9" s="49"/>
      <c r="CL9" s="50" t="s">
        <v>128</v>
      </c>
      <c r="CM9" s="51" t="s">
        <v>128</v>
      </c>
      <c r="CN9" s="52" t="s">
        <v>128</v>
      </c>
      <c r="CO9" s="53" t="s">
        <v>128</v>
      </c>
      <c r="CP9" s="72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72">
        <f>IFERROR((VLOOKUP(CQ9,Scoring!$A:$B,2,0))+IF(CS9="y",1,0)+IF(CT9="y",1,0)+IF(CU9="y",1,0)+IF(CV9="y",1,0),0)</f>
        <v>0</v>
      </c>
      <c r="CX9" s="13">
        <v>0.0</v>
      </c>
    </row>
    <row r="10">
      <c r="A10" s="14" t="s">
        <v>31</v>
      </c>
      <c r="B10" s="1" t="s">
        <v>32</v>
      </c>
      <c r="C10" s="15" t="s">
        <v>33</v>
      </c>
      <c r="D10" s="24"/>
      <c r="E10" s="25"/>
      <c r="F10" s="26" t="s">
        <v>128</v>
      </c>
      <c r="G10" s="27" t="s">
        <v>128</v>
      </c>
      <c r="H10" s="28" t="s">
        <v>128</v>
      </c>
      <c r="I10" s="29" t="s">
        <v>128</v>
      </c>
      <c r="J10" s="71">
        <f>IFERROR((VLOOKUP(D10,Scoring!$A:$B,2,0))+IF(F10="y",1,0)+IF(G10="y",1,0)+IF(H10="y",1,0)+IF(I10="y",1,0),0)</f>
        <v>0</v>
      </c>
      <c r="K10" s="24"/>
      <c r="L10" s="25"/>
      <c r="M10" s="26" t="s">
        <v>128</v>
      </c>
      <c r="N10" s="27" t="s">
        <v>128</v>
      </c>
      <c r="O10" s="28" t="s">
        <v>128</v>
      </c>
      <c r="P10" s="29" t="s">
        <v>128</v>
      </c>
      <c r="Q10" s="71">
        <f>IFERROR((VLOOKUP(K10,Scoring!$A:$B,2,0))+IF(M10="y",1,0)+IF(N10="y",1,0)+IF(O10="y",1,0)+IF(P10="y",1,0),0)</f>
        <v>0</v>
      </c>
      <c r="R10" s="24"/>
      <c r="S10" s="25"/>
      <c r="T10" s="26" t="s">
        <v>128</v>
      </c>
      <c r="U10" s="27" t="s">
        <v>128</v>
      </c>
      <c r="V10" s="28" t="s">
        <v>128</v>
      </c>
      <c r="W10" s="29" t="s">
        <v>128</v>
      </c>
      <c r="X10" s="71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71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71">
        <f>IFERROR((VLOOKUP(AF10,Scoring!$A:$B,2,0))+IF(AH10="y",1,0)+IF(AI10="y",1,0)+IF(AJ10="y",1,0)+IF(AK10="y",1,0),0)</f>
        <v>0</v>
      </c>
      <c r="AM10" s="24"/>
      <c r="AN10" s="25"/>
      <c r="AO10" s="26" t="s">
        <v>128</v>
      </c>
      <c r="AP10" s="27" t="s">
        <v>128</v>
      </c>
      <c r="AQ10" s="28" t="s">
        <v>128</v>
      </c>
      <c r="AR10" s="29" t="s">
        <v>128</v>
      </c>
      <c r="AS10" s="71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71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71">
        <f>IFERROR((VLOOKUP(BA10,Scoring!$A:$B,2,0))+IF(BC10="y",1,0)+IF(BD10="y",1,0)+IF(BE10="y",1,0)+IF(BF10="y",1,0),0)</f>
        <v>0</v>
      </c>
      <c r="BH10" s="24"/>
      <c r="BI10" s="25"/>
      <c r="BJ10" s="26" t="s">
        <v>128</v>
      </c>
      <c r="BK10" s="27" t="s">
        <v>128</v>
      </c>
      <c r="BL10" s="28" t="s">
        <v>128</v>
      </c>
      <c r="BM10" s="29" t="s">
        <v>128</v>
      </c>
      <c r="BN10" s="71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71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71">
        <f>IFERROR((VLOOKUP(BV10,Scoring!$A:$B,2,0))+IF(BX10="y",1,0)+IF(BY10="y",1,0)+IF(BZ10="y",1,0)+IF(CA10="y",1,0),0)</f>
        <v>0</v>
      </c>
      <c r="CC10" s="24"/>
      <c r="CD10" s="25"/>
      <c r="CE10" s="26" t="s">
        <v>128</v>
      </c>
      <c r="CF10" s="27" t="s">
        <v>128</v>
      </c>
      <c r="CG10" s="28" t="s">
        <v>128</v>
      </c>
      <c r="CH10" s="29" t="s">
        <v>128</v>
      </c>
      <c r="CI10" s="71">
        <f>IFERROR((VLOOKUP(CC10,Scoring!$A:$B,2,0))+IF(CE10="y",1,0)+IF(CF10="y",1,0)+IF(CG10="y",1,0)+IF(CH10="y",1,0),0)</f>
        <v>0</v>
      </c>
      <c r="CJ10" s="24"/>
      <c r="CK10" s="25"/>
      <c r="CL10" s="26" t="s">
        <v>128</v>
      </c>
      <c r="CM10" s="27" t="s">
        <v>128</v>
      </c>
      <c r="CN10" s="28" t="s">
        <v>128</v>
      </c>
      <c r="CO10" s="29" t="s">
        <v>128</v>
      </c>
      <c r="CP10" s="71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71">
        <f>IFERROR((VLOOKUP(CQ10,Scoring!$A:$B,2,0))+IF(CS10="y",1,0)+IF(CT10="y",1,0)+IF(CU10="y",1,0)+IF(CV10="y",1,0),0)</f>
        <v>0</v>
      </c>
      <c r="CX10" s="13">
        <v>0.0</v>
      </c>
    </row>
    <row r="11">
      <c r="A11" s="14" t="s">
        <v>31</v>
      </c>
      <c r="B11" s="1" t="s">
        <v>398</v>
      </c>
      <c r="C11" s="15" t="s">
        <v>395</v>
      </c>
      <c r="D11" s="24"/>
      <c r="E11" s="25"/>
      <c r="F11" s="26" t="s">
        <v>128</v>
      </c>
      <c r="G11" s="27" t="s">
        <v>128</v>
      </c>
      <c r="H11" s="28" t="s">
        <v>128</v>
      </c>
      <c r="I11" s="29" t="s">
        <v>128</v>
      </c>
      <c r="J11" s="72">
        <f>IFERROR((VLOOKUP(D11,Scoring!$A:$B,2,0))+IF(F11="y",1,0)+IF(G11="y",1,0)+IF(H11="y",1,0)+IF(I11="y",1,0),0)</f>
        <v>0</v>
      </c>
      <c r="K11" s="24"/>
      <c r="L11" s="25"/>
      <c r="M11" s="26" t="s">
        <v>128</v>
      </c>
      <c r="N11" s="27" t="s">
        <v>128</v>
      </c>
      <c r="O11" s="28" t="s">
        <v>128</v>
      </c>
      <c r="P11" s="29" t="s">
        <v>128</v>
      </c>
      <c r="Q11" s="72">
        <f>IFERROR((VLOOKUP(K11,Scoring!$A:$B,2,0))+IF(M11="y",1,0)+IF(N11="y",1,0)+IF(O11="y",1,0)+IF(P11="y",1,0),0)</f>
        <v>0</v>
      </c>
      <c r="R11" s="24"/>
      <c r="S11" s="25"/>
      <c r="T11" s="26" t="s">
        <v>128</v>
      </c>
      <c r="U11" s="27" t="s">
        <v>128</v>
      </c>
      <c r="V11" s="28" t="s">
        <v>128</v>
      </c>
      <c r="W11" s="29" t="s">
        <v>128</v>
      </c>
      <c r="X11" s="72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72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72">
        <f>IFERROR((VLOOKUP(AF11,Scoring!$A:$B,2,0))+IF(AH11="y",1,0)+IF(AI11="y",1,0)+IF(AJ11="y",1,0)+IF(AK11="y",1,0),0)</f>
        <v>0</v>
      </c>
      <c r="AM11" s="24"/>
      <c r="AN11" s="25"/>
      <c r="AO11" s="26" t="s">
        <v>128</v>
      </c>
      <c r="AP11" s="27" t="s">
        <v>128</v>
      </c>
      <c r="AQ11" s="28" t="s">
        <v>128</v>
      </c>
      <c r="AR11" s="29" t="s">
        <v>128</v>
      </c>
      <c r="AS11" s="72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72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72">
        <f>IFERROR((VLOOKUP(BA11,Scoring!$A:$B,2,0))+IF(BC11="y",1,0)+IF(BD11="y",1,0)+IF(BE11="y",1,0)+IF(BF11="y",1,0),0)</f>
        <v>0</v>
      </c>
      <c r="BH11" s="24"/>
      <c r="BI11" s="25"/>
      <c r="BJ11" s="26" t="s">
        <v>128</v>
      </c>
      <c r="BK11" s="27" t="s">
        <v>128</v>
      </c>
      <c r="BL11" s="28" t="s">
        <v>128</v>
      </c>
      <c r="BM11" s="29" t="s">
        <v>128</v>
      </c>
      <c r="BN11" s="72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72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72">
        <f>IFERROR((VLOOKUP(BV11,Scoring!$A:$B,2,0))+IF(BX11="y",1,0)+IF(BY11="y",1,0)+IF(BZ11="y",1,0)+IF(CA11="y",1,0),0)</f>
        <v>0</v>
      </c>
      <c r="CC11" s="24"/>
      <c r="CD11" s="25"/>
      <c r="CE11" s="26" t="s">
        <v>128</v>
      </c>
      <c r="CF11" s="27" t="s">
        <v>128</v>
      </c>
      <c r="CG11" s="28" t="s">
        <v>128</v>
      </c>
      <c r="CH11" s="29" t="s">
        <v>128</v>
      </c>
      <c r="CI11" s="72">
        <f>IFERROR((VLOOKUP(CC11,Scoring!$A:$B,2,0))+IF(CE11="y",1,0)+IF(CF11="y",1,0)+IF(CG11="y",1,0)+IF(CH11="y",1,0),0)</f>
        <v>0</v>
      </c>
      <c r="CJ11" s="24"/>
      <c r="CK11" s="25"/>
      <c r="CL11" s="26" t="s">
        <v>128</v>
      </c>
      <c r="CM11" s="27" t="s">
        <v>128</v>
      </c>
      <c r="CN11" s="28" t="s">
        <v>128</v>
      </c>
      <c r="CO11" s="29" t="s">
        <v>128</v>
      </c>
      <c r="CP11" s="72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72">
        <f>IFERROR((VLOOKUP(CQ11,Scoring!$A:$B,2,0))+IF(CS11="y",1,0)+IF(CT11="y",1,0)+IF(CU11="y",1,0)+IF(CV11="y",1,0),0)</f>
        <v>0</v>
      </c>
      <c r="CX11" s="13">
        <v>0.0</v>
      </c>
    </row>
    <row r="12">
      <c r="A12" s="33" t="s">
        <v>399</v>
      </c>
      <c r="B12" s="34" t="s">
        <v>34</v>
      </c>
      <c r="C12" s="35" t="s">
        <v>35</v>
      </c>
      <c r="D12" s="36"/>
      <c r="E12" s="37"/>
      <c r="F12" s="38" t="s">
        <v>128</v>
      </c>
      <c r="G12" s="39" t="s">
        <v>128</v>
      </c>
      <c r="H12" s="40" t="s">
        <v>128</v>
      </c>
      <c r="I12" s="41" t="s">
        <v>128</v>
      </c>
      <c r="J12" s="71">
        <f>IFERROR((VLOOKUP(D12,Scoring!$A:$B,2,0))+IF(F12="y",1,0)+IF(G12="y",1,0)+IF(H12="y",1,0)+IF(I12="y",1,0),0)</f>
        <v>0</v>
      </c>
      <c r="K12" s="36"/>
      <c r="L12" s="37"/>
      <c r="M12" s="38" t="s">
        <v>128</v>
      </c>
      <c r="N12" s="39" t="s">
        <v>128</v>
      </c>
      <c r="O12" s="40" t="s">
        <v>128</v>
      </c>
      <c r="P12" s="41" t="s">
        <v>128</v>
      </c>
      <c r="Q12" s="71">
        <f>IFERROR((VLOOKUP(K12,Scoring!$A:$B,2,0))+IF(M12="y",1,0)+IF(N12="y",1,0)+IF(O12="y",1,0)+IF(P12="y",1,0),0)</f>
        <v>0</v>
      </c>
      <c r="R12" s="36"/>
      <c r="S12" s="37"/>
      <c r="T12" s="38" t="s">
        <v>128</v>
      </c>
      <c r="U12" s="39" t="s">
        <v>128</v>
      </c>
      <c r="V12" s="40" t="s">
        <v>128</v>
      </c>
      <c r="W12" s="41" t="s">
        <v>128</v>
      </c>
      <c r="X12" s="71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71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71">
        <f>IFERROR((VLOOKUP(AF12,Scoring!$A:$B,2,0))+IF(AH12="y",1,0)+IF(AI12="y",1,0)+IF(AJ12="y",1,0)+IF(AK12="y",1,0),0)</f>
        <v>0</v>
      </c>
      <c r="AM12" s="36"/>
      <c r="AN12" s="37"/>
      <c r="AO12" s="38" t="s">
        <v>128</v>
      </c>
      <c r="AP12" s="39" t="s">
        <v>128</v>
      </c>
      <c r="AQ12" s="40" t="s">
        <v>128</v>
      </c>
      <c r="AR12" s="41" t="s">
        <v>128</v>
      </c>
      <c r="AS12" s="71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71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71">
        <f>IFERROR((VLOOKUP(BA12,Scoring!$A:$B,2,0))+IF(BC12="y",1,0)+IF(BD12="y",1,0)+IF(BE12="y",1,0)+IF(BF12="y",1,0),0)</f>
        <v>0</v>
      </c>
      <c r="BH12" s="36"/>
      <c r="BI12" s="37"/>
      <c r="BJ12" s="38" t="s">
        <v>128</v>
      </c>
      <c r="BK12" s="39" t="s">
        <v>128</v>
      </c>
      <c r="BL12" s="40" t="s">
        <v>128</v>
      </c>
      <c r="BM12" s="41" t="s">
        <v>128</v>
      </c>
      <c r="BN12" s="71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71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71">
        <f>IFERROR((VLOOKUP(BV12,Scoring!$A:$B,2,0))+IF(BX12="y",1,0)+IF(BY12="y",1,0)+IF(BZ12="y",1,0)+IF(CA12="y",1,0),0)</f>
        <v>0</v>
      </c>
      <c r="CC12" s="36"/>
      <c r="CD12" s="37"/>
      <c r="CE12" s="38" t="s">
        <v>128</v>
      </c>
      <c r="CF12" s="39" t="s">
        <v>128</v>
      </c>
      <c r="CG12" s="40" t="s">
        <v>128</v>
      </c>
      <c r="CH12" s="41" t="s">
        <v>128</v>
      </c>
      <c r="CI12" s="71">
        <f>IFERROR((VLOOKUP(CC12,Scoring!$A:$B,2,0))+IF(CE12="y",1,0)+IF(CF12="y",1,0)+IF(CG12="y",1,0)+IF(CH12="y",1,0),0)</f>
        <v>0</v>
      </c>
      <c r="CJ12" s="36"/>
      <c r="CK12" s="37"/>
      <c r="CL12" s="38" t="s">
        <v>128</v>
      </c>
      <c r="CM12" s="39" t="s">
        <v>128</v>
      </c>
      <c r="CN12" s="40" t="s">
        <v>128</v>
      </c>
      <c r="CO12" s="41" t="s">
        <v>128</v>
      </c>
      <c r="CP12" s="71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71">
        <f>IFERROR((VLOOKUP(CQ12,Scoring!$A:$B,2,0))+IF(CS12="y",1,0)+IF(CT12="y",1,0)+IF(CU12="y",1,0)+IF(CV12="y",1,0),0)</f>
        <v>0</v>
      </c>
      <c r="CX12" s="13">
        <v>0.0</v>
      </c>
    </row>
    <row r="13">
      <c r="A13" s="14" t="s">
        <v>399</v>
      </c>
      <c r="B13" s="1" t="s">
        <v>400</v>
      </c>
      <c r="C13" s="15" t="s">
        <v>395</v>
      </c>
      <c r="D13" s="24"/>
      <c r="E13" s="25"/>
      <c r="F13" s="26" t="s">
        <v>128</v>
      </c>
      <c r="G13" s="27" t="s">
        <v>128</v>
      </c>
      <c r="H13" s="28" t="s">
        <v>128</v>
      </c>
      <c r="I13" s="29" t="s">
        <v>128</v>
      </c>
      <c r="J13" s="72">
        <f>IFERROR((VLOOKUP(D13,Scoring!$A:$B,2,0))+IF(F13="y",1,0)+IF(G13="y",1,0)+IF(H13="y",1,0)+IF(I13="y",1,0),0)</f>
        <v>0</v>
      </c>
      <c r="K13" s="24"/>
      <c r="L13" s="25"/>
      <c r="M13" s="26" t="s">
        <v>128</v>
      </c>
      <c r="N13" s="27" t="s">
        <v>128</v>
      </c>
      <c r="O13" s="28" t="s">
        <v>128</v>
      </c>
      <c r="P13" s="29" t="s">
        <v>128</v>
      </c>
      <c r="Q13" s="72">
        <f>IFERROR((VLOOKUP(K13,Scoring!$A:$B,2,0))+IF(M13="y",1,0)+IF(N13="y",1,0)+IF(O13="y",1,0)+IF(P13="y",1,0),0)</f>
        <v>0</v>
      </c>
      <c r="R13" s="24"/>
      <c r="S13" s="25"/>
      <c r="T13" s="26" t="s">
        <v>128</v>
      </c>
      <c r="U13" s="27" t="s">
        <v>128</v>
      </c>
      <c r="V13" s="28" t="s">
        <v>128</v>
      </c>
      <c r="W13" s="29" t="s">
        <v>128</v>
      </c>
      <c r="X13" s="72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72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72">
        <f>IFERROR((VLOOKUP(AF13,Scoring!$A:$B,2,0))+IF(AH13="y",1,0)+IF(AI13="y",1,0)+IF(AJ13="y",1,0)+IF(AK13="y",1,0),0)</f>
        <v>0</v>
      </c>
      <c r="AM13" s="24"/>
      <c r="AN13" s="25"/>
      <c r="AO13" s="26" t="s">
        <v>128</v>
      </c>
      <c r="AP13" s="27" t="s">
        <v>128</v>
      </c>
      <c r="AQ13" s="28" t="s">
        <v>128</v>
      </c>
      <c r="AR13" s="29" t="s">
        <v>128</v>
      </c>
      <c r="AS13" s="72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72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72">
        <f>IFERROR((VLOOKUP(BA13,Scoring!$A:$B,2,0))+IF(BC13="y",1,0)+IF(BD13="y",1,0)+IF(BE13="y",1,0)+IF(BF13="y",1,0),0)</f>
        <v>0</v>
      </c>
      <c r="BH13" s="24"/>
      <c r="BI13" s="25"/>
      <c r="BJ13" s="26" t="s">
        <v>128</v>
      </c>
      <c r="BK13" s="27" t="s">
        <v>128</v>
      </c>
      <c r="BL13" s="28" t="s">
        <v>128</v>
      </c>
      <c r="BM13" s="29" t="s">
        <v>128</v>
      </c>
      <c r="BN13" s="72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72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72">
        <f>IFERROR((VLOOKUP(BV13,Scoring!$A:$B,2,0))+IF(BX13="y",1,0)+IF(BY13="y",1,0)+IF(BZ13="y",1,0)+IF(CA13="y",1,0),0)</f>
        <v>0</v>
      </c>
      <c r="CC13" s="24"/>
      <c r="CD13" s="25"/>
      <c r="CE13" s="26" t="s">
        <v>128</v>
      </c>
      <c r="CF13" s="27" t="s">
        <v>128</v>
      </c>
      <c r="CG13" s="28" t="s">
        <v>128</v>
      </c>
      <c r="CH13" s="29" t="s">
        <v>128</v>
      </c>
      <c r="CI13" s="72">
        <f>IFERROR((VLOOKUP(CC13,Scoring!$A:$B,2,0))+IF(CE13="y",1,0)+IF(CF13="y",1,0)+IF(CG13="y",1,0)+IF(CH13="y",1,0),0)</f>
        <v>0</v>
      </c>
      <c r="CJ13" s="24"/>
      <c r="CK13" s="25"/>
      <c r="CL13" s="26" t="s">
        <v>128</v>
      </c>
      <c r="CM13" s="27" t="s">
        <v>128</v>
      </c>
      <c r="CN13" s="28" t="s">
        <v>128</v>
      </c>
      <c r="CO13" s="29" t="s">
        <v>128</v>
      </c>
      <c r="CP13" s="72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72">
        <f>IFERROR((VLOOKUP(CQ13,Scoring!$A:$B,2,0))+IF(CS13="y",1,0)+IF(CT13="y",1,0)+IF(CU13="y",1,0)+IF(CV13="y",1,0),0)</f>
        <v>0</v>
      </c>
      <c r="CX13" s="13">
        <v>0.0</v>
      </c>
    </row>
    <row r="14">
      <c r="A14" s="33" t="s">
        <v>36</v>
      </c>
      <c r="B14" s="34" t="s">
        <v>268</v>
      </c>
      <c r="C14" s="35" t="s">
        <v>43</v>
      </c>
      <c r="D14" s="36"/>
      <c r="E14" s="37"/>
      <c r="F14" s="38" t="s">
        <v>128</v>
      </c>
      <c r="G14" s="39" t="s">
        <v>128</v>
      </c>
      <c r="H14" s="40" t="s">
        <v>128</v>
      </c>
      <c r="I14" s="41" t="s">
        <v>128</v>
      </c>
      <c r="J14" s="71">
        <f>IFERROR((VLOOKUP(D14,Scoring!$A:$B,2,0))+IF(F14="y",1,0)+IF(G14="y",1,0)+IF(H14="y",1,0)+IF(I14="y",1,0),0)</f>
        <v>0</v>
      </c>
      <c r="K14" s="36"/>
      <c r="L14" s="37"/>
      <c r="M14" s="38" t="s">
        <v>128</v>
      </c>
      <c r="N14" s="39" t="s">
        <v>128</v>
      </c>
      <c r="O14" s="40" t="s">
        <v>128</v>
      </c>
      <c r="P14" s="41" t="s">
        <v>128</v>
      </c>
      <c r="Q14" s="71">
        <f>IFERROR((VLOOKUP(K14,Scoring!$A:$B,2,0))+IF(M14="y",1,0)+IF(N14="y",1,0)+IF(O14="y",1,0)+IF(P14="y",1,0),0)</f>
        <v>0</v>
      </c>
      <c r="R14" s="36"/>
      <c r="S14" s="37"/>
      <c r="T14" s="38" t="s">
        <v>128</v>
      </c>
      <c r="U14" s="39" t="s">
        <v>128</v>
      </c>
      <c r="V14" s="40" t="s">
        <v>128</v>
      </c>
      <c r="W14" s="41" t="s">
        <v>128</v>
      </c>
      <c r="X14" s="71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71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71">
        <f>IFERROR((VLOOKUP(AF14,Scoring!$A:$B,2,0))+IF(AH14="y",1,0)+IF(AI14="y",1,0)+IF(AJ14="y",1,0)+IF(AK14="y",1,0),0)</f>
        <v>0</v>
      </c>
      <c r="AM14" s="36"/>
      <c r="AN14" s="37"/>
      <c r="AO14" s="38" t="s">
        <v>128</v>
      </c>
      <c r="AP14" s="39" t="s">
        <v>128</v>
      </c>
      <c r="AQ14" s="40" t="s">
        <v>128</v>
      </c>
      <c r="AR14" s="41" t="s">
        <v>128</v>
      </c>
      <c r="AS14" s="71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71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71">
        <f>IFERROR((VLOOKUP(BA14,Scoring!$A:$B,2,0))+IF(BC14="y",1,0)+IF(BD14="y",1,0)+IF(BE14="y",1,0)+IF(BF14="y",1,0),0)</f>
        <v>0</v>
      </c>
      <c r="BH14" s="36"/>
      <c r="BI14" s="37"/>
      <c r="BJ14" s="38" t="s">
        <v>128</v>
      </c>
      <c r="BK14" s="39" t="s">
        <v>128</v>
      </c>
      <c r="BL14" s="40" t="s">
        <v>128</v>
      </c>
      <c r="BM14" s="41" t="s">
        <v>128</v>
      </c>
      <c r="BN14" s="71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71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71">
        <f>IFERROR((VLOOKUP(BV14,Scoring!$A:$B,2,0))+IF(BX14="y",1,0)+IF(BY14="y",1,0)+IF(BZ14="y",1,0)+IF(CA14="y",1,0),0)</f>
        <v>0</v>
      </c>
      <c r="CC14" s="36"/>
      <c r="CD14" s="37"/>
      <c r="CE14" s="38" t="s">
        <v>128</v>
      </c>
      <c r="CF14" s="39" t="s">
        <v>128</v>
      </c>
      <c r="CG14" s="40" t="s">
        <v>128</v>
      </c>
      <c r="CH14" s="41" t="s">
        <v>128</v>
      </c>
      <c r="CI14" s="71">
        <f>IFERROR((VLOOKUP(CC14,Scoring!$A:$B,2,0))+IF(CE14="y",1,0)+IF(CF14="y",1,0)+IF(CG14="y",1,0)+IF(CH14="y",1,0),0)</f>
        <v>0</v>
      </c>
      <c r="CJ14" s="36"/>
      <c r="CK14" s="37"/>
      <c r="CL14" s="38" t="s">
        <v>128</v>
      </c>
      <c r="CM14" s="39" t="s">
        <v>128</v>
      </c>
      <c r="CN14" s="40" t="s">
        <v>128</v>
      </c>
      <c r="CO14" s="41" t="s">
        <v>128</v>
      </c>
      <c r="CP14" s="71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71">
        <f>IFERROR((VLOOKUP(CQ14,Scoring!$A:$B,2,0))+IF(CS14="y",1,0)+IF(CT14="y",1,0)+IF(CU14="y",1,0)+IF(CV14="y",1,0),0)</f>
        <v>0</v>
      </c>
      <c r="CX14" s="13">
        <v>0.0</v>
      </c>
    </row>
    <row r="15">
      <c r="A15" s="45" t="s">
        <v>36</v>
      </c>
      <c r="B15" s="46" t="s">
        <v>39</v>
      </c>
      <c r="C15" s="47" t="s">
        <v>40</v>
      </c>
      <c r="D15" s="48"/>
      <c r="E15" s="49"/>
      <c r="F15" s="50" t="s">
        <v>128</v>
      </c>
      <c r="G15" s="51" t="s">
        <v>128</v>
      </c>
      <c r="H15" s="52" t="s">
        <v>128</v>
      </c>
      <c r="I15" s="53" t="s">
        <v>128</v>
      </c>
      <c r="J15" s="72">
        <f>IFERROR((VLOOKUP(D15,Scoring!$A:$B,2,0))+IF(F15="y",1,0)+IF(G15="y",1,0)+IF(H15="y",1,0)+IF(I15="y",1,0),0)</f>
        <v>0</v>
      </c>
      <c r="K15" s="48"/>
      <c r="L15" s="49"/>
      <c r="M15" s="50" t="s">
        <v>128</v>
      </c>
      <c r="N15" s="51" t="s">
        <v>128</v>
      </c>
      <c r="O15" s="52" t="s">
        <v>128</v>
      </c>
      <c r="P15" s="53" t="s">
        <v>128</v>
      </c>
      <c r="Q15" s="72">
        <f>IFERROR((VLOOKUP(K15,Scoring!$A:$B,2,0))+IF(M15="y",1,0)+IF(N15="y",1,0)+IF(O15="y",1,0)+IF(P15="y",1,0),0)</f>
        <v>0</v>
      </c>
      <c r="R15" s="48"/>
      <c r="S15" s="49"/>
      <c r="T15" s="50" t="s">
        <v>128</v>
      </c>
      <c r="U15" s="51" t="s">
        <v>128</v>
      </c>
      <c r="V15" s="52" t="s">
        <v>128</v>
      </c>
      <c r="W15" s="53" t="s">
        <v>128</v>
      </c>
      <c r="X15" s="72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72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72">
        <f>IFERROR((VLOOKUP(AF15,Scoring!$A:$B,2,0))+IF(AH15="y",1,0)+IF(AI15="y",1,0)+IF(AJ15="y",1,0)+IF(AK15="y",1,0),0)</f>
        <v>0</v>
      </c>
      <c r="AM15" s="48"/>
      <c r="AN15" s="49"/>
      <c r="AO15" s="50" t="s">
        <v>128</v>
      </c>
      <c r="AP15" s="51" t="s">
        <v>128</v>
      </c>
      <c r="AQ15" s="52" t="s">
        <v>128</v>
      </c>
      <c r="AR15" s="53" t="s">
        <v>128</v>
      </c>
      <c r="AS15" s="72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72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72">
        <f>IFERROR((VLOOKUP(BA15,Scoring!$A:$B,2,0))+IF(BC15="y",1,0)+IF(BD15="y",1,0)+IF(BE15="y",1,0)+IF(BF15="y",1,0),0)</f>
        <v>0</v>
      </c>
      <c r="BH15" s="48"/>
      <c r="BI15" s="49"/>
      <c r="BJ15" s="50" t="s">
        <v>128</v>
      </c>
      <c r="BK15" s="51" t="s">
        <v>128</v>
      </c>
      <c r="BL15" s="52" t="s">
        <v>128</v>
      </c>
      <c r="BM15" s="53" t="s">
        <v>128</v>
      </c>
      <c r="BN15" s="72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72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72">
        <f>IFERROR((VLOOKUP(BV15,Scoring!$A:$B,2,0))+IF(BX15="y",1,0)+IF(BY15="y",1,0)+IF(BZ15="y",1,0)+IF(CA15="y",1,0),0)</f>
        <v>0</v>
      </c>
      <c r="CC15" s="48"/>
      <c r="CD15" s="49"/>
      <c r="CE15" s="50" t="s">
        <v>128</v>
      </c>
      <c r="CF15" s="51" t="s">
        <v>128</v>
      </c>
      <c r="CG15" s="52" t="s">
        <v>128</v>
      </c>
      <c r="CH15" s="53" t="s">
        <v>128</v>
      </c>
      <c r="CI15" s="72">
        <f>IFERROR((VLOOKUP(CC15,Scoring!$A:$B,2,0))+IF(CE15="y",1,0)+IF(CF15="y",1,0)+IF(CG15="y",1,0)+IF(CH15="y",1,0),0)</f>
        <v>0</v>
      </c>
      <c r="CJ15" s="48"/>
      <c r="CK15" s="49"/>
      <c r="CL15" s="50" t="s">
        <v>128</v>
      </c>
      <c r="CM15" s="51" t="s">
        <v>128</v>
      </c>
      <c r="CN15" s="52" t="s">
        <v>128</v>
      </c>
      <c r="CO15" s="53" t="s">
        <v>128</v>
      </c>
      <c r="CP15" s="72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72">
        <f>IFERROR((VLOOKUP(CQ15,Scoring!$A:$B,2,0))+IF(CS15="y",1,0)+IF(CT15="y",1,0)+IF(CU15="y",1,0)+IF(CV15="y",1,0),0)</f>
        <v>0</v>
      </c>
      <c r="CX15" s="13">
        <v>0.0</v>
      </c>
    </row>
    <row r="16">
      <c r="A16" s="14" t="s">
        <v>41</v>
      </c>
      <c r="B16" s="1" t="s">
        <v>44</v>
      </c>
      <c r="C16" s="15" t="s">
        <v>45</v>
      </c>
      <c r="D16" s="24"/>
      <c r="E16" s="25"/>
      <c r="F16" s="26" t="s">
        <v>128</v>
      </c>
      <c r="G16" s="27" t="s">
        <v>128</v>
      </c>
      <c r="H16" s="28" t="s">
        <v>128</v>
      </c>
      <c r="I16" s="29" t="s">
        <v>128</v>
      </c>
      <c r="J16" s="71">
        <f>IFERROR((VLOOKUP(D16,Scoring!$A:$B,2,0))+IF(F16="y",1,0)+IF(G16="y",1,0)+IF(H16="y",1,0)+IF(I16="y",1,0),0)</f>
        <v>0</v>
      </c>
      <c r="K16" s="24"/>
      <c r="L16" s="25"/>
      <c r="M16" s="26" t="s">
        <v>128</v>
      </c>
      <c r="N16" s="27" t="s">
        <v>128</v>
      </c>
      <c r="O16" s="28" t="s">
        <v>128</v>
      </c>
      <c r="P16" s="29" t="s">
        <v>128</v>
      </c>
      <c r="Q16" s="71">
        <f>IFERROR((VLOOKUP(K16,Scoring!$A:$B,2,0))+IF(M16="y",1,0)+IF(N16="y",1,0)+IF(O16="y",1,0)+IF(P16="y",1,0),0)</f>
        <v>0</v>
      </c>
      <c r="R16" s="24"/>
      <c r="S16" s="25"/>
      <c r="T16" s="26" t="s">
        <v>128</v>
      </c>
      <c r="U16" s="27" t="s">
        <v>128</v>
      </c>
      <c r="V16" s="28" t="s">
        <v>128</v>
      </c>
      <c r="W16" s="29" t="s">
        <v>128</v>
      </c>
      <c r="X16" s="71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71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71">
        <f>IFERROR((VLOOKUP(AF16,Scoring!$A:$B,2,0))+IF(AH16="y",1,0)+IF(AI16="y",1,0)+IF(AJ16="y",1,0)+IF(AK16="y",1,0),0)</f>
        <v>0</v>
      </c>
      <c r="AM16" s="24"/>
      <c r="AN16" s="25"/>
      <c r="AO16" s="26" t="s">
        <v>128</v>
      </c>
      <c r="AP16" s="27" t="s">
        <v>128</v>
      </c>
      <c r="AQ16" s="28" t="s">
        <v>128</v>
      </c>
      <c r="AR16" s="29" t="s">
        <v>128</v>
      </c>
      <c r="AS16" s="71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71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71">
        <f>IFERROR((VLOOKUP(BA16,Scoring!$A:$B,2,0))+IF(BC16="y",1,0)+IF(BD16="y",1,0)+IF(BE16="y",1,0)+IF(BF16="y",1,0),0)</f>
        <v>0</v>
      </c>
      <c r="BH16" s="24"/>
      <c r="BI16" s="25"/>
      <c r="BJ16" s="26" t="s">
        <v>128</v>
      </c>
      <c r="BK16" s="27" t="s">
        <v>128</v>
      </c>
      <c r="BL16" s="28" t="s">
        <v>128</v>
      </c>
      <c r="BM16" s="29" t="s">
        <v>128</v>
      </c>
      <c r="BN16" s="71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71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71">
        <f>IFERROR((VLOOKUP(BV16,Scoring!$A:$B,2,0))+IF(BX16="y",1,0)+IF(BY16="y",1,0)+IF(BZ16="y",1,0)+IF(CA16="y",1,0),0)</f>
        <v>0</v>
      </c>
      <c r="CC16" s="24"/>
      <c r="CD16" s="25"/>
      <c r="CE16" s="26" t="s">
        <v>128</v>
      </c>
      <c r="CF16" s="27" t="s">
        <v>128</v>
      </c>
      <c r="CG16" s="28" t="s">
        <v>128</v>
      </c>
      <c r="CH16" s="29" t="s">
        <v>128</v>
      </c>
      <c r="CI16" s="71">
        <f>IFERROR((VLOOKUP(CC16,Scoring!$A:$B,2,0))+IF(CE16="y",1,0)+IF(CF16="y",1,0)+IF(CG16="y",1,0)+IF(CH16="y",1,0),0)</f>
        <v>0</v>
      </c>
      <c r="CJ16" s="24"/>
      <c r="CK16" s="25"/>
      <c r="CL16" s="26" t="s">
        <v>128</v>
      </c>
      <c r="CM16" s="27" t="s">
        <v>128</v>
      </c>
      <c r="CN16" s="28" t="s">
        <v>128</v>
      </c>
      <c r="CO16" s="29" t="s">
        <v>128</v>
      </c>
      <c r="CP16" s="71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71">
        <f>IFERROR((VLOOKUP(CQ16,Scoring!$A:$B,2,0))+IF(CS16="y",1,0)+IF(CT16="y",1,0)+IF(CU16="y",1,0)+IF(CV16="y",1,0),0)</f>
        <v>0</v>
      </c>
      <c r="CX16" s="13">
        <v>0.0</v>
      </c>
    </row>
    <row r="17">
      <c r="A17" s="57" t="s">
        <v>41</v>
      </c>
      <c r="B17" s="58" t="s">
        <v>401</v>
      </c>
      <c r="C17" s="59" t="s">
        <v>395</v>
      </c>
      <c r="D17" s="60"/>
      <c r="E17" s="61"/>
      <c r="F17" s="62" t="s">
        <v>128</v>
      </c>
      <c r="G17" s="63" t="s">
        <v>128</v>
      </c>
      <c r="H17" s="64" t="s">
        <v>128</v>
      </c>
      <c r="I17" s="65" t="s">
        <v>128</v>
      </c>
      <c r="J17" s="73">
        <f>IFERROR((VLOOKUP(D17,Scoring!$A:$B,2,0))+IF(F17="y",1,0)+IF(G17="y",1,0)+IF(H17="y",1,0)+IF(I17="y",1,0),0)</f>
        <v>0</v>
      </c>
      <c r="K17" s="60"/>
      <c r="L17" s="61"/>
      <c r="M17" s="62" t="s">
        <v>128</v>
      </c>
      <c r="N17" s="63" t="s">
        <v>128</v>
      </c>
      <c r="O17" s="64" t="s">
        <v>128</v>
      </c>
      <c r="P17" s="65" t="s">
        <v>128</v>
      </c>
      <c r="Q17" s="73">
        <f>IFERROR((VLOOKUP(K17,Scoring!$A:$B,2,0))+IF(M17="y",1,0)+IF(N17="y",1,0)+IF(O17="y",1,0)+IF(P17="y",1,0),0)</f>
        <v>0</v>
      </c>
      <c r="R17" s="60"/>
      <c r="S17" s="61"/>
      <c r="T17" s="62" t="s">
        <v>128</v>
      </c>
      <c r="U17" s="63" t="s">
        <v>128</v>
      </c>
      <c r="V17" s="64" t="s">
        <v>128</v>
      </c>
      <c r="W17" s="65" t="s">
        <v>128</v>
      </c>
      <c r="X17" s="73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73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73">
        <f>IFERROR((VLOOKUP(AF17,Scoring!$A:$B,2,0))+IF(AH17="y",1,0)+IF(AI17="y",1,0)+IF(AJ17="y",1,0)+IF(AK17="y",1,0),0)</f>
        <v>0</v>
      </c>
      <c r="AM17" s="60"/>
      <c r="AN17" s="61"/>
      <c r="AO17" s="62" t="s">
        <v>128</v>
      </c>
      <c r="AP17" s="63" t="s">
        <v>128</v>
      </c>
      <c r="AQ17" s="64" t="s">
        <v>128</v>
      </c>
      <c r="AR17" s="65" t="s">
        <v>128</v>
      </c>
      <c r="AS17" s="73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73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73">
        <f>IFERROR((VLOOKUP(BA17,Scoring!$A:$B,2,0))+IF(BC17="y",1,0)+IF(BD17="y",1,0)+IF(BE17="y",1,0)+IF(BF17="y",1,0),0)</f>
        <v>0</v>
      </c>
      <c r="BH17" s="60"/>
      <c r="BI17" s="61"/>
      <c r="BJ17" s="62" t="s">
        <v>128</v>
      </c>
      <c r="BK17" s="63" t="s">
        <v>128</v>
      </c>
      <c r="BL17" s="64" t="s">
        <v>128</v>
      </c>
      <c r="BM17" s="65" t="s">
        <v>128</v>
      </c>
      <c r="BN17" s="73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73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73">
        <f>IFERROR((VLOOKUP(BV17,Scoring!$A:$B,2,0))+IF(BX17="y",1,0)+IF(BY17="y",1,0)+IF(BZ17="y",1,0)+IF(CA17="y",1,0),0)</f>
        <v>0</v>
      </c>
      <c r="CC17" s="60"/>
      <c r="CD17" s="61"/>
      <c r="CE17" s="62" t="s">
        <v>128</v>
      </c>
      <c r="CF17" s="63" t="s">
        <v>128</v>
      </c>
      <c r="CG17" s="64" t="s">
        <v>128</v>
      </c>
      <c r="CH17" s="65" t="s">
        <v>128</v>
      </c>
      <c r="CI17" s="73">
        <f>IFERROR((VLOOKUP(CC17,Scoring!$A:$B,2,0))+IF(CE17="y",1,0)+IF(CF17="y",1,0)+IF(CG17="y",1,0)+IF(CH17="y",1,0),0)</f>
        <v>0</v>
      </c>
      <c r="CJ17" s="60"/>
      <c r="CK17" s="61"/>
      <c r="CL17" s="62" t="s">
        <v>128</v>
      </c>
      <c r="CM17" s="63" t="s">
        <v>128</v>
      </c>
      <c r="CN17" s="64" t="s">
        <v>128</v>
      </c>
      <c r="CO17" s="65" t="s">
        <v>128</v>
      </c>
      <c r="CP17" s="73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73">
        <f>IFERROR((VLOOKUP(CQ17,Scoring!$A:$B,2,0))+IF(CS17="y",1,0)+IF(CT17="y",1,0)+IF(CU17="y",1,0)+IF(CV17="y",1,0),0)</f>
        <v>0</v>
      </c>
      <c r="CX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402</v>
      </c>
      <c r="B2" s="69" t="s">
        <v>403</v>
      </c>
      <c r="C2" s="1" t="s">
        <v>292</v>
      </c>
    </row>
    <row r="3">
      <c r="A3" s="1" t="s">
        <v>402</v>
      </c>
      <c r="B3" s="69" t="s">
        <v>404</v>
      </c>
      <c r="C3" s="1" t="s">
        <v>292</v>
      </c>
    </row>
    <row r="4">
      <c r="A4" s="1" t="s">
        <v>402</v>
      </c>
      <c r="B4" s="69" t="s">
        <v>405</v>
      </c>
      <c r="C4" s="1" t="s">
        <v>292</v>
      </c>
    </row>
    <row r="5">
      <c r="A5" s="1" t="s">
        <v>406</v>
      </c>
      <c r="B5" s="69" t="s">
        <v>407</v>
      </c>
      <c r="C5" s="1" t="s">
        <v>292</v>
      </c>
    </row>
    <row r="6">
      <c r="A6" s="1" t="s">
        <v>408</v>
      </c>
      <c r="B6" s="69" t="s">
        <v>409</v>
      </c>
      <c r="C6" s="1" t="s">
        <v>292</v>
      </c>
    </row>
    <row r="7">
      <c r="A7" s="1" t="s">
        <v>410</v>
      </c>
      <c r="B7" s="69" t="s">
        <v>411</v>
      </c>
      <c r="C7" s="1" t="s">
        <v>292</v>
      </c>
    </row>
    <row r="8">
      <c r="A8" s="1" t="s">
        <v>412</v>
      </c>
      <c r="B8" s="69" t="s">
        <v>413</v>
      </c>
      <c r="C8" s="1" t="s">
        <v>292</v>
      </c>
    </row>
    <row r="9">
      <c r="A9" s="1" t="s">
        <v>414</v>
      </c>
      <c r="B9" s="69" t="s">
        <v>415</v>
      </c>
      <c r="C9" s="1" t="s">
        <v>292</v>
      </c>
    </row>
    <row r="10">
      <c r="A10" s="1" t="s">
        <v>416</v>
      </c>
      <c r="B10" s="69" t="s">
        <v>417</v>
      </c>
      <c r="C10" s="1" t="s">
        <v>292</v>
      </c>
    </row>
    <row r="11">
      <c r="A11" s="1" t="s">
        <v>418</v>
      </c>
      <c r="B11" s="69" t="s">
        <v>419</v>
      </c>
      <c r="C11" s="1" t="s">
        <v>292</v>
      </c>
    </row>
    <row r="12">
      <c r="A12" s="1" t="s">
        <v>420</v>
      </c>
      <c r="B12" s="69" t="s">
        <v>421</v>
      </c>
      <c r="C12" s="1" t="s">
        <v>292</v>
      </c>
    </row>
    <row r="13">
      <c r="A13" s="1" t="s">
        <v>422</v>
      </c>
      <c r="B13" s="69" t="s">
        <v>423</v>
      </c>
      <c r="C13" s="1" t="s">
        <v>292</v>
      </c>
    </row>
    <row r="14">
      <c r="A14" s="1" t="s">
        <v>424</v>
      </c>
      <c r="B14" s="69" t="s">
        <v>425</v>
      </c>
      <c r="C14" s="1" t="s">
        <v>292</v>
      </c>
    </row>
    <row r="15">
      <c r="A15" s="1" t="s">
        <v>426</v>
      </c>
      <c r="B15" s="69" t="s">
        <v>427</v>
      </c>
      <c r="C15" s="1" t="s">
        <v>292</v>
      </c>
    </row>
    <row r="16">
      <c r="A16" s="1" t="s">
        <v>428</v>
      </c>
      <c r="B16" s="69" t="s">
        <v>429</v>
      </c>
      <c r="C16" s="1" t="s">
        <v>292</v>
      </c>
    </row>
    <row r="17">
      <c r="A17" s="1" t="s">
        <v>430</v>
      </c>
      <c r="B17" s="69" t="s">
        <v>431</v>
      </c>
      <c r="C17" s="1" t="s">
        <v>292</v>
      </c>
    </row>
    <row r="18">
      <c r="A18" s="1" t="s">
        <v>432</v>
      </c>
      <c r="B18" s="69" t="s">
        <v>433</v>
      </c>
      <c r="C18" s="1" t="s">
        <v>292</v>
      </c>
    </row>
    <row r="19">
      <c r="A19" s="1" t="s">
        <v>294</v>
      </c>
      <c r="B19" s="69" t="s">
        <v>434</v>
      </c>
      <c r="C19" s="1" t="s">
        <v>292</v>
      </c>
    </row>
  </sheetData>
  <drawing r:id="rId1"/>
</worksheet>
</file>